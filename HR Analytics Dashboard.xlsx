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mayur\Downloads\"/>
    </mc:Choice>
  </mc:AlternateContent>
  <xr:revisionPtr revIDLastSave="0" documentId="13_ncr:1_{5E5225B6-E8E4-4980-8E14-17F6E5F24D24}" xr6:coauthVersionLast="47" xr6:coauthVersionMax="47" xr10:uidLastSave="{00000000-0000-0000-0000-000000000000}"/>
  <bookViews>
    <workbookView xWindow="-108" yWindow="-108" windowWidth="23256" windowHeight="12456" firstSheet="8" activeTab="9" xr2:uid="{00000000-000D-0000-FFFF-FFFF00000000}"/>
  </bookViews>
  <sheets>
    <sheet name="Data" sheetId="1" r:id="rId1"/>
    <sheet name="KPI" sheetId="7" r:id="rId2"/>
    <sheet name="Rating" sheetId="10" r:id="rId3"/>
    <sheet name="Gender" sheetId="11" r:id="rId4"/>
    <sheet name="Education by Attrition" sheetId="12" r:id="rId5"/>
    <sheet name="Attrition by Job" sheetId="13" r:id="rId6"/>
    <sheet name="Dept Wise Attrition" sheetId="14" r:id="rId7"/>
    <sheet name="Attrition by Age Group" sheetId="15" r:id="rId8"/>
    <sheet name="Marital Status" sheetId="16" r:id="rId9"/>
    <sheet name="Dashboard" sheetId="9" r:id="rId10"/>
    <sheet name="Images" sheetId="2" r:id="rId11"/>
    <sheet name="Background 1" sheetId="3" r:id="rId12"/>
    <sheet name="Background 2" sheetId="4" r:id="rId13"/>
    <sheet name="Background 3" sheetId="5" r:id="rId14"/>
    <sheet name="Background 4" sheetId="6" r:id="rId15"/>
  </sheets>
  <definedNames>
    <definedName name="_xlchart.v1.0" hidden="1">'Attrition by Job'!$D$4:$D$12</definedName>
    <definedName name="_xlchart.v1.1" hidden="1">'Attrition by Job'!$E$3</definedName>
    <definedName name="_xlchart.v1.12" hidden="1">'Attrition by Job'!$D$4:$D$12</definedName>
    <definedName name="_xlchart.v1.13" hidden="1">'Attrition by Job'!$E$3</definedName>
    <definedName name="_xlchart.v1.14" hidden="1">'Attrition by Job'!$E$4:$E$12</definedName>
    <definedName name="_xlchart.v1.2" hidden="1">'Attrition by Job'!$E$4:$E$12</definedName>
    <definedName name="_xlchart.v2.10" hidden="1">'Marital Status'!$E$3</definedName>
    <definedName name="_xlchart.v2.11" hidden="1">'Marital Status'!$E$4:$E$6</definedName>
    <definedName name="_xlchart.v2.3" hidden="1">'Marital Status'!$D$4:$D$6</definedName>
    <definedName name="_xlchart.v2.4" hidden="1">'Marital Status'!$E$3</definedName>
    <definedName name="_xlchart.v2.5" hidden="1">'Marital Status'!$E$4:$E$6</definedName>
    <definedName name="_xlchart.v2.6" hidden="1">'Marital Status'!$D$4:$D$6</definedName>
    <definedName name="_xlchart.v2.7" hidden="1">'Marital Status'!$E$3</definedName>
    <definedName name="_xlchart.v2.8" hidden="1">'Marital Status'!$E$4:$E$6</definedName>
    <definedName name="_xlchart.v2.9" hidden="1">'Marital Status'!$D$4:$D$6</definedName>
    <definedName name="Slicer_Department">#N/A</definedName>
    <definedName name="Slicer_Education_Field2">#N/A</definedName>
    <definedName name="Slicer_Gender2">#N/A</definedName>
  </definedNames>
  <calcPr calcId="191029"/>
  <pivotCaches>
    <pivotCache cacheId="18"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D4" i="16" l="1"/>
  <c r="D5" i="16"/>
  <c r="D6" i="16"/>
  <c r="D5" i="13"/>
  <c r="D6" i="13"/>
  <c r="D7" i="13"/>
  <c r="D8" i="13"/>
  <c r="D9" i="13"/>
  <c r="D10" i="13"/>
  <c r="D11" i="13"/>
  <c r="D12" i="13"/>
  <c r="D4" i="13"/>
  <c r="E4" i="16"/>
  <c r="E5" i="16"/>
  <c r="E6" i="16"/>
  <c r="E5" i="13"/>
  <c r="E6" i="13"/>
  <c r="E7" i="13"/>
  <c r="E8" i="13"/>
  <c r="E9" i="13"/>
  <c r="E10" i="13"/>
  <c r="E12" i="13"/>
  <c r="E11" i="13"/>
  <c r="E4" i="13"/>
  <c r="B10" i="11"/>
  <c r="B9" i="11"/>
  <c r="B6" i="10"/>
  <c r="C8" i="7"/>
  <c r="B8" i="7"/>
  <c r="A8" i="7"/>
  <c r="C9" i="11" l="1"/>
  <c r="C10" i="11"/>
  <c r="C6" i="10"/>
  <c r="B7" i="10"/>
  <c r="C7" i="10" s="1"/>
  <c r="D8" i="7"/>
  <c r="E8"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<sst xmlns="http://schemas.openxmlformats.org/spreadsheetml/2006/main" count="19216" uniqueCount="1570">
  <si>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</si>
  <si>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</si>
  <si>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</si>
  <si>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</si>
  <si>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</si>
  <si>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</si>
  <si>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</si>
  <si>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</si>
  <si>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</si>
  <si>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</si>
  <si>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</si>
  <si>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</si>
  <si>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</si>
  <si>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</si>
  <si>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</si>
  <si>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</si>
  <si>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</si>
  <si>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</si>
  <si>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</si>
  <si>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</si>
  <si>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</si>
  <si>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</si>
  <si>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</si>
  <si>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</si>
  <si>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</si>
  <si>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</si>
  <si>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</si>
  <si>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</si>
  <si>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</si>
  <si>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</si>
  <si>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</si>
  <si>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</si>
  <si>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</si>
  <si>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</si>
  <si>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</si>
  <si>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</si>
  <si>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</si>
  <si>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</si>
  <si>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</si>
  <si>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</si>
  <si>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</si>
  <si>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</si>
  <si>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</si>
  <si>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</si>
  <si>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</si>
  <si>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</si>
  <si>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</si>
  <si>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</si>
  <si>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</si>
  <si>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</si>
  <si>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</si>
  <si>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</si>
  <si>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</si>
  <si>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</si>
  <si>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</si>
  <si>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</si>
  <si>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</si>
  <si>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</si>
  <si>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</si>
  <si>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</si>
  <si>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</si>
  <si>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</si>
  <si>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</si>
  <si>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</si>
  <si>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</si>
  <si>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</si>
  <si>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</si>
  <si>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</si>
  <si>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</si>
  <si>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</si>
  <si>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</si>
  <si>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</si>
  <si>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</si>
  <si>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</si>
  <si>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</si>
  <si>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</si>
  <si>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</si>
  <si>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</si>
  <si>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</si>
  <si>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</si>
  <si>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</si>
  <si>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</si>
  <si>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</si>
  <si>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</si>
  <si>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</si>
  <si>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</si>
  <si>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</si>
  <si>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</si>
  <si>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</si>
  <si>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</si>
  <si>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</si>
  <si>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</si>
  <si>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</si>
  <si>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</si>
  <si>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</si>
  <si>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</si>
  <si>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</si>
  <si>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</si>
  <si>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</si>
  <si>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</si>
  <si>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</si>
  <si>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</si>
  <si>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</si>
  <si>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</si>
  <si>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</si>
  <si>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</si>
  <si>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</si>
  <si>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</si>
  <si>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</si>
  <si>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</si>
  <si>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</si>
  <si>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</si>
  <si>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</si>
  <si>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</si>
  <si>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</si>
  <si>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</si>
  <si>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</si>
  <si>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</si>
  <si>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</si>
  <si>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</si>
  <si>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</si>
  <si>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</si>
  <si>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</si>
  <si>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</si>
  <si>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</si>
  <si>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</si>
  <si>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</si>
  <si>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</si>
  <si>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</si>
  <si>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</si>
  <si>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</si>
  <si>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</si>
  <si>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</si>
  <si>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</si>
  <si>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</si>
  <si>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</si>
  <si>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</si>
  <si>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</si>
  <si>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</si>
  <si>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</si>
  <si>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</si>
  <si>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</si>
  <si>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</si>
  <si>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</si>
  <si>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</si>
  <si>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</si>
  <si>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</si>
  <si>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</si>
  <si>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</si>
  <si>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</si>
  <si>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</si>
  <si>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</si>
  <si>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</si>
  <si>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</si>
  <si>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</si>
  <si>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</si>
  <si>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</si>
  <si>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</si>
  <si>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</si>
  <si>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</si>
  <si>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</si>
  <si>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</si>
  <si>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</si>
  <si>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</si>
  <si>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</si>
  <si>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</si>
  <si>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</si>
  <si>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</si>
  <si>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</si>
  <si>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</si>
  <si>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</si>
  <si>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</si>
  <si>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</si>
  <si>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</si>
  <si>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</si>
  <si>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</si>
  <si>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</si>
  <si>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</si>
  <si>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</si>
  <si>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</si>
  <si>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</si>
  <si>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</si>
  <si>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</si>
  <si>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</si>
  <si>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</si>
  <si>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</si>
  <si>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</si>
  <si>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</si>
  <si>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</si>
  <si>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</si>
  <si>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</si>
  <si>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</si>
  <si>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</si>
  <si>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</si>
  <si>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</si>
  <si>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</si>
  <si>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</si>
  <si>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</si>
  <si>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</si>
  <si>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</si>
  <si>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</si>
  <si>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</si>
  <si>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</si>
  <si>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</si>
  <si>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</si>
  <si>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</si>
  <si>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</si>
  <si>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</si>
  <si>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</si>
  <si>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</si>
  <si>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</si>
  <si>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</si>
  <si>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</si>
  <si>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</si>
  <si>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</si>
  <si>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</si>
  <si>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</si>
  <si>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</si>
  <si>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</si>
  <si>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</si>
  <si>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</si>
  <si>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</si>
  <si>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</si>
  <si>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</si>
  <si>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</si>
  <si>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</si>
  <si>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</si>
  <si>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</si>
  <si>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</si>
  <si>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</si>
  <si>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</si>
  <si>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</si>
  <si>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</si>
  <si>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</si>
  <si>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</si>
  <si>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</si>
  <si>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</si>
  <si>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</si>
  <si>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</si>
  <si>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</si>
  <si>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</si>
  <si>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</si>
  <si>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</si>
  <si>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</si>
  <si>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</si>
  <si>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</si>
  <si>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</si>
  <si>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</si>
  <si>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</si>
  <si>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</si>
  <si>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</si>
  <si>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</si>
  <si>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</si>
  <si>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</si>
  <si>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</si>
  <si>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</si>
  <si>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</si>
  <si>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</si>
  <si>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</si>
  <si>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</si>
  <si>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</si>
  <si>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</si>
  <si>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</si>
  <si>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</si>
  <si>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</si>
  <si>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</si>
  <si>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</si>
  <si>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</si>
  <si>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</si>
  <si>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</si>
  <si>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</si>
  <si>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</si>
  <si>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</si>
  <si>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</si>
  <si>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</si>
  <si>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</si>
  <si>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</si>
  <si>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</si>
  <si>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</si>
  <si>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</si>
  <si>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</si>
  <si>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</si>
  <si>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</si>
  <si>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</si>
  <si>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</si>
  <si>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</si>
  <si>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</si>
  <si>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</si>
  <si>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</si>
  <si>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</si>
  <si>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</si>
  <si>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</si>
  <si>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</si>
  <si>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</si>
  <si>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</si>
  <si>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</si>
  <si>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</si>
  <si>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</si>
  <si>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</si>
  <si>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</si>
  <si>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</si>
  <si>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</si>
  <si>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</si>
  <si>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</si>
  <si>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</si>
  <si>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</si>
  <si>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</si>
  <si>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</si>
  <si>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</si>
  <si>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</si>
  <si>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</si>
  <si>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</si>
  <si>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</si>
  <si>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</si>
  <si>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</si>
  <si>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</si>
  <si>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</si>
  <si>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</si>
  <si>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</si>
  <si>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</si>
  <si>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</si>
  <si>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</si>
  <si>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</si>
  <si>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</si>
  <si>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</si>
  <si>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</si>
  <si>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</si>
  <si>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</si>
  <si>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</si>
  <si>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</si>
  <si>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</si>
  <si>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</si>
  <si>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</si>
  <si>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</si>
  <si>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</si>
  <si>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</si>
  <si>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</si>
  <si>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</si>
  <si>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</si>
  <si>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</si>
  <si>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</si>
  <si>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</si>
  <si>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</si>
  <si>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</si>
  <si>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</si>
  <si>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</si>
  <si>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</si>
  <si>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</si>
  <si>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</si>
  <si>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</si>
  <si>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</si>
  <si>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</si>
  <si>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</si>
  <si>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</si>
  <si>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</si>
  <si>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</si>
  <si>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</si>
  <si>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</si>
  <si>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</si>
  <si>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</si>
  <si>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</si>
  <si>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</si>
  <si>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</si>
  <si>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</si>
  <si>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</si>
  <si>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</si>
  <si>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</si>
  <si>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</si>
  <si>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</si>
  <si>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</si>
  <si>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</si>
  <si>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</si>
  <si>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</si>
  <si>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</si>
  <si>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</si>
  <si>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</si>
  <si>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</si>
  <si>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</si>
  <si>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</si>
  <si>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</si>
  <si>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</si>
  <si>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</si>
  <si>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</si>
  <si>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</si>
  <si>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</si>
  <si>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</si>
  <si>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</si>
  <si>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</si>
  <si>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</si>
  <si>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</si>
  <si>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</si>
  <si>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</si>
  <si>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</si>
  <si>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</si>
  <si>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</si>
  <si>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</si>
  <si>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</si>
  <si>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</si>
  <si>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</si>
  <si>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</si>
  <si>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</si>
  <si>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</si>
  <si>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</si>
  <si>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</si>
  <si>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</si>
  <si>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</si>
  <si>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</si>
  <si>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</si>
  <si>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</si>
  <si>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</si>
  <si>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</si>
  <si>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</si>
  <si>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</si>
  <si>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</si>
  <si>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</si>
  <si>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</si>
  <si>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</si>
  <si>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</si>
  <si>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</si>
  <si>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</si>
  <si>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</si>
  <si>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</si>
  <si>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</si>
  <si>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</si>
  <si>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</si>
  <si>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</si>
  <si>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</si>
  <si>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</si>
  <si>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</si>
  <si>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</si>
  <si>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</si>
  <si>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</si>
  <si>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</si>
  <si>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</si>
  <si>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</si>
  <si>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</si>
  <si>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</si>
  <si>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</si>
  <si>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</si>
  <si>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</si>
  <si>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</si>
  <si>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</si>
  <si>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</si>
  <si>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</si>
  <si>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</si>
  <si>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</si>
  <si>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</si>
  <si>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</si>
  <si>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</si>
  <si>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</si>
  <si>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</si>
  <si>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</si>
  <si>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</si>
  <si>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</si>
  <si>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</si>
  <si>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</si>
  <si>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</si>
  <si>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</si>
  <si>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</si>
  <si>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</si>
  <si>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</si>
  <si>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</si>
  <si>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</si>
  <si>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</si>
  <si>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</si>
  <si>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</si>
  <si>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</si>
  <si>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</si>
  <si>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</si>
  <si>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</si>
  <si>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</si>
  <si>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</si>
  <si>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</si>
  <si>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</si>
  <si>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</si>
  <si>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</si>
  <si>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</si>
  <si>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</si>
  <si>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</si>
  <si>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</si>
  <si>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</si>
  <si>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</si>
  <si>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</si>
  <si>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</si>
  <si>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</si>
  <si>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</si>
  <si>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</si>
  <si>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</si>
  <si>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</si>
  <si>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</si>
  <si>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</si>
  <si>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</si>
  <si>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</si>
  <si>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</si>
  <si>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</si>
  <si>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</si>
  <si>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</si>
  <si>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</si>
  <si>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</si>
  <si>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</si>
  <si>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</si>
  <si>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</si>
  <si>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</si>
  <si>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</si>
  <si>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</si>
  <si>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</si>
  <si>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</si>
  <si>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</si>
  <si>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</si>
  <si>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</si>
  <si>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</si>
  <si>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</si>
  <si>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</si>
  <si>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</si>
  <si>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</si>
  <si>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</si>
  <si>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</si>
  <si>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</si>
  <si>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</si>
  <si>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</si>
  <si>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</si>
  <si>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</si>
  <si>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</si>
  <si>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</si>
  <si>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</si>
  <si>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</si>
  <si>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</si>
  <si>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</si>
  <si>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</si>
  <si>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</si>
  <si>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</si>
  <si>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</si>
  <si>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</si>
  <si>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</si>
  <si>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</si>
  <si>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</si>
  <si>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</si>
  <si>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</si>
  <si>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</si>
  <si>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</si>
  <si>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</si>
  <si>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</si>
  <si>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</si>
  <si>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</si>
  <si>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</si>
  <si>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</si>
  <si>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</si>
  <si>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</si>
  <si>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</si>
  <si>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</si>
  <si>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</si>
  <si>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</si>
  <si>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</si>
  <si>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</si>
  <si>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</si>
  <si>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</si>
  <si>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</si>
  <si>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</si>
  <si>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</si>
  <si>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</si>
  <si>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</si>
  <si>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</si>
  <si>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</si>
  <si>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</si>
  <si>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</si>
  <si>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</si>
  <si>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</si>
  <si>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</si>
  <si>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</si>
  <si>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</si>
  <si>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</si>
  <si>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</si>
  <si>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</si>
  <si>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</si>
  <si>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</si>
  <si>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</si>
  <si>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</si>
  <si>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</si>
  <si>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</si>
  <si>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</si>
  <si>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</si>
  <si>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</si>
  <si>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</si>
  <si>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</si>
  <si>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</si>
  <si>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</si>
  <si>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</si>
  <si>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</si>
  <si>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</si>
  <si>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</si>
  <si>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</si>
  <si>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</si>
  <si>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</si>
  <si>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</si>
  <si>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</si>
  <si>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</si>
  <si>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</si>
  <si>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</si>
  <si>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</si>
  <si>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</si>
  <si>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</si>
  <si>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</si>
  <si>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</si>
  <si>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</si>
  <si>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</si>
  <si>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</si>
  <si>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</si>
  <si>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</si>
  <si>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</si>
  <si>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</si>
  <si>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</si>
  <si>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</si>
  <si>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</si>
  <si>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</si>
  <si>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</si>
  <si>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</si>
  <si>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</si>
  <si>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</si>
  <si>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</si>
  <si>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</si>
  <si>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</si>
  <si>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</si>
  <si>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</si>
  <si>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</si>
  <si>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</si>
  <si>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</si>
  <si>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</si>
  <si>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</si>
  <si>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</si>
  <si>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</si>
  <si>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</si>
  <si>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</si>
  <si>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</si>
  <si>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</si>
  <si>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</si>
  <si>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</si>
  <si>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</si>
  <si>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</si>
  <si>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</si>
  <si>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</si>
  <si>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</si>
  <si>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</si>
  <si>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</si>
  <si>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</si>
  <si>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</si>
  <si>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</si>
  <si>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</si>
  <si>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</si>
  <si>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</si>
  <si>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</si>
  <si>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</si>
  <si>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</si>
  <si>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</si>
  <si>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</si>
  <si>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</si>
  <si>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</si>
  <si>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</si>
  <si>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</si>
  <si>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</si>
  <si>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</si>
  <si>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</si>
  <si>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</si>
  <si>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</si>
  <si>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</si>
  <si>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</si>
  <si>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</si>
  <si>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</si>
  <si>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</si>
  <si>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</si>
  <si>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</si>
  <si>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</si>
  <si>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</si>
  <si>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</si>
  <si>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</si>
  <si>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</si>
  <si>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</si>
  <si>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</si>
  <si>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</si>
  <si>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</si>
  <si>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</si>
  <si>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</si>
  <si>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</si>
  <si>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</si>
  <si>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</si>
  <si>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</si>
  <si>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</si>
  <si>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</si>
  <si>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</si>
  <si>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</si>
  <si>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</si>
  <si>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</si>
  <si>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</si>
  <si>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</si>
  <si>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</si>
  <si>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</si>
  <si>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</si>
  <si>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</si>
  <si>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</si>
  <si>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</si>
  <si>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</si>
  <si>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</si>
  <si>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</si>
  <si>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</si>
  <si>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</si>
  <si>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</si>
  <si>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</si>
  <si>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</si>
  <si>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</si>
  <si>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</si>
  <si>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</si>
  <si>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</si>
  <si>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</si>
  <si>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</si>
  <si>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</si>
  <si>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</si>
  <si>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</si>
  <si>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</si>
  <si>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</si>
  <si>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</si>
  <si>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</si>
  <si>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</si>
  <si>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</si>
  <si>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</si>
  <si>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</si>
  <si>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</si>
  <si>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</si>
  <si>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</si>
  <si>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</si>
  <si>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</si>
  <si>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</si>
  <si>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</si>
  <si>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</si>
  <si>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</si>
  <si>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</si>
  <si>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</si>
  <si>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</si>
  <si>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</si>
  <si>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</si>
  <si>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</si>
  <si>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</si>
  <si>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</si>
  <si>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</si>
  <si>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</si>
  <si>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</si>
  <si>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</si>
  <si>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</si>
  <si>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</si>
  <si>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</si>
  <si>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</si>
  <si>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</si>
  <si>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</si>
  <si>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</si>
  <si>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</si>
  <si>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</si>
  <si>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</si>
  <si>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</si>
  <si>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</si>
  <si>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</si>
  <si>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</si>
  <si>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</si>
  <si>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</si>
  <si>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</si>
  <si>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</si>
  <si>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</si>
  <si>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</si>
  <si>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</si>
  <si>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</si>
  <si>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</si>
  <si>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</si>
  <si>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</si>
  <si>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</si>
  <si>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</si>
  <si>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</si>
  <si>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</si>
  <si>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</si>
  <si>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</si>
  <si>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</si>
  <si>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</si>
  <si>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</si>
  <si>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</si>
  <si>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</si>
  <si>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</si>
  <si>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</si>
  <si>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</si>
  <si>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</si>
  <si>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</si>
  <si>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</si>
  <si>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</si>
  <si>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</si>
  <si>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</si>
  <si>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</si>
  <si>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</si>
  <si>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</si>
  <si>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</si>
  <si>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</si>
  <si>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</si>
  <si>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</si>
  <si>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</si>
  <si>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</si>
  <si>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</si>
  <si>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</si>
  <si>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</si>
  <si>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</si>
  <si>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</si>
  <si>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</si>
  <si>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</si>
  <si>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</si>
  <si>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</si>
  <si>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</si>
  <si>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</si>
  <si>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</si>
  <si>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</si>
  <si>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</si>
  <si>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</si>
  <si>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</si>
  <si>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</si>
  <si>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</si>
  <si>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</si>
  <si>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</si>
  <si>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</si>
  <si>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</si>
  <si>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</si>
  <si>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</si>
  <si>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</si>
  <si>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</si>
  <si>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</si>
  <si>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</si>
  <si>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</si>
  <si>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</si>
  <si>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</si>
  <si>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</si>
  <si>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</si>
  <si>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</si>
  <si>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</si>
  <si>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</si>
  <si>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</si>
  <si>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</si>
  <si>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</si>
  <si>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</si>
  <si>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</si>
  <si>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</si>
  <si>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</si>
  <si>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</si>
  <si>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</si>
  <si>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</si>
  <si>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</si>
  <si>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</si>
  <si>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</si>
  <si>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</si>
  <si>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</si>
  <si>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</si>
  <si>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</si>
  <si>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</si>
  <si>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</si>
  <si>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</si>
  <si>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</si>
  <si>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</si>
  <si>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</si>
  <si>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</si>
  <si>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</si>
  <si>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</si>
  <si>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</si>
  <si>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</si>
  <si>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</si>
  <si>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</si>
  <si>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</si>
  <si>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</si>
  <si>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</si>
  <si>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</si>
  <si>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</si>
  <si>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</si>
  <si>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</si>
  <si>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</si>
  <si>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</si>
  <si>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</si>
  <si>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</si>
  <si>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</si>
  <si>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</si>
  <si>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</si>
  <si>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</si>
  <si>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</si>
  <si>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</si>
  <si>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</si>
  <si>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</si>
  <si>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</si>
  <si>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</si>
  <si>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</si>
  <si>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</si>
  <si>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</si>
  <si>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</si>
  <si>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</si>
  <si>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</si>
  <si>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</si>
  <si>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</si>
  <si>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</si>
  <si>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</si>
  <si>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</si>
  <si>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</si>
  <si>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</si>
  <si>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</si>
  <si>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</si>
  <si>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</si>
  <si>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</si>
  <si>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</si>
  <si>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</si>
  <si>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</si>
  <si>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</si>
  <si>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</si>
  <si>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</si>
  <si>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</si>
  <si>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</si>
  <si>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</si>
  <si>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</si>
  <si>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</si>
  <si>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</si>
  <si>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</si>
  <si>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</si>
  <si>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</si>
  <si>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</si>
  <si>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</si>
  <si>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</si>
  <si>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</si>
  <si>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</si>
  <si>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</si>
  <si>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</si>
  <si>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</si>
  <si>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</si>
  <si>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</si>
  <si>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</si>
  <si>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</si>
  <si>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</si>
  <si>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</si>
  <si>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</si>
  <si>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</si>
  <si>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</si>
  <si>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</si>
  <si>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</si>
  <si>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</si>
  <si>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</si>
  <si>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</si>
  <si>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</si>
  <si>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</si>
  <si>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</si>
  <si>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</si>
  <si>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</si>
  <si>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</si>
  <si>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</si>
  <si>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</si>
  <si>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</si>
  <si>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</si>
  <si>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</si>
  <si>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</si>
  <si>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</si>
  <si>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</si>
  <si>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</si>
  <si>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</si>
  <si>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</si>
  <si>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</si>
  <si>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</si>
  <si>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</si>
  <si>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</si>
  <si>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</si>
  <si>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</si>
  <si>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</si>
  <si>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</si>
  <si>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</si>
  <si>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</si>
  <si>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</si>
  <si>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</si>
  <si>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</si>
  <si>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</si>
  <si>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</si>
  <si>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</si>
  <si>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</si>
  <si>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</si>
  <si>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</si>
  <si>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</si>
  <si>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</si>
  <si>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</si>
  <si>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</si>
  <si>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</si>
  <si>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</si>
  <si>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</si>
  <si>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</si>
  <si>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</si>
  <si>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</si>
  <si>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</si>
  <si>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</si>
  <si>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</si>
  <si>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</si>
  <si>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</si>
  <si>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</si>
  <si>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</si>
  <si>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</si>
  <si>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</si>
  <si>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</si>
  <si>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</si>
  <si>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</si>
  <si>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</si>
  <si>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</si>
  <si>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</si>
  <si>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</si>
  <si>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</si>
  <si>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</si>
  <si>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</si>
  <si>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</si>
  <si>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</si>
  <si>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</si>
  <si>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</si>
  <si>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</si>
  <si>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</si>
  <si>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</si>
  <si>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</si>
  <si>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</si>
  <si>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</si>
  <si>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</si>
  <si>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</si>
  <si>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</si>
  <si>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</si>
  <si>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</si>
  <si>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</si>
  <si>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</si>
  <si>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</si>
  <si>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</si>
  <si>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</si>
  <si>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</si>
  <si>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</si>
  <si>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</si>
  <si>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</si>
  <si>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</si>
  <si>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</si>
  <si>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</si>
  <si>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</si>
  <si>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</si>
  <si>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</si>
  <si>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</si>
  <si>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</si>
  <si>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</si>
  <si>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</si>
  <si>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</si>
  <si>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</si>
  <si>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</si>
  <si>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</si>
  <si>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</si>
  <si>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</si>
  <si>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</si>
  <si>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</si>
  <si>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</si>
  <si>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</si>
  <si>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</si>
  <si>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</si>
  <si>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</si>
  <si>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</si>
  <si>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</si>
  <si>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</si>
  <si>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</si>
  <si>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</si>
  <si>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</si>
  <si>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</si>
  <si>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</si>
  <si>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</si>
  <si>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</si>
  <si>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</si>
  <si>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</si>
  <si>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</si>
  <si>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</si>
  <si>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</si>
  <si>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</si>
  <si>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</si>
  <si>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</si>
  <si>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</si>
  <si>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</si>
  <si>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</si>
  <si>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</si>
  <si>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</si>
  <si>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</si>
  <si>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</si>
  <si>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</si>
  <si>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</si>
  <si>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</si>
  <si>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</si>
  <si>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</si>
  <si>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</si>
  <si>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</si>
  <si>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</si>
  <si>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</si>
  <si>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</si>
  <si>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</si>
  <si>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</si>
  <si>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</si>
  <si>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</si>
  <si>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</si>
  <si>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</si>
  <si>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</si>
  <si>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</si>
  <si>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</si>
  <si>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</si>
  <si>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</si>
  <si>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</si>
  <si>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</si>
  <si>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</si>
  <si>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</si>
  <si>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</si>
  <si>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</si>
  <si>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</si>
  <si>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</si>
  <si>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</si>
  <si>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</si>
  <si>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</si>
  <si>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</si>
  <si>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</si>
  <si>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</si>
  <si>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</si>
  <si>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</si>
  <si>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</si>
  <si>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</si>
  <si>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</si>
  <si>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</si>
  <si>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</si>
  <si>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</si>
  <si>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</si>
  <si>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</si>
  <si>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</si>
  <si>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</si>
  <si>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</si>
  <si>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</si>
  <si>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</si>
  <si>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</si>
  <si>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</si>
  <si>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</si>
  <si>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</si>
  <si>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</si>
  <si>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</si>
  <si>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</si>
  <si>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</si>
  <si>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</si>
  <si>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</si>
  <si>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</si>
  <si>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</si>
  <si>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</si>
  <si>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</si>
  <si>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</si>
  <si>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</si>
  <si>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</si>
  <si>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</si>
  <si>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</si>
  <si>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</si>
  <si>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</si>
  <si>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</si>
  <si>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</si>
  <si>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</si>
  <si>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</si>
  <si>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</si>
  <si>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</si>
  <si>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</si>
  <si>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</si>
  <si>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</si>
  <si>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</si>
  <si>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</si>
  <si>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</si>
  <si>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</si>
  <si>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</si>
  <si>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</si>
  <si>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</si>
  <si>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</si>
  <si>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</si>
  <si>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</si>
  <si>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</si>
  <si>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</si>
  <si>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</si>
  <si>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</si>
  <si>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</si>
  <si>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</si>
  <si>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</si>
  <si>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</si>
  <si>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</si>
  <si>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</si>
  <si>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</si>
  <si>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</si>
  <si>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</si>
  <si>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</si>
  <si>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</si>
  <si>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</si>
  <si>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</si>
  <si>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</si>
  <si>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</si>
  <si>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</si>
  <si>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</si>
  <si>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</si>
  <si>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</si>
  <si>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</si>
  <si>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</si>
  <si>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</si>
  <si>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</si>
  <si>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</si>
  <si>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</si>
  <si>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</si>
  <si>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</si>
  <si>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</si>
  <si>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</si>
  <si>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</si>
  <si>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</si>
  <si>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</si>
  <si>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</si>
  <si>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</si>
  <si>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</si>
  <si>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</si>
  <si>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</si>
  <si>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</si>
  <si>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</si>
  <si>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</si>
  <si>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</si>
  <si>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</si>
  <si>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</si>
  <si>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</si>
  <si>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</si>
  <si>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</si>
  <si>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</si>
  <si>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</si>
  <si>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</si>
  <si>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</si>
  <si>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</si>
  <si>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</si>
  <si>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</si>
  <si>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</si>
  <si>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</si>
  <si>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</si>
  <si>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</si>
  <si>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</si>
  <si>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</si>
  <si>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</si>
  <si>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</si>
  <si>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</si>
  <si>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</si>
  <si>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</si>
  <si>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</si>
  <si>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</si>
  <si>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</si>
  <si>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</si>
  <si>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</si>
  <si>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</si>
  <si>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</si>
  <si>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</si>
  <si>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</si>
  <si>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</si>
  <si>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</si>
  <si>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</si>
  <si>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</si>
  <si>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</si>
  <si>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</si>
  <si>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</si>
  <si>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</si>
  <si>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</si>
  <si>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</si>
  <si>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</si>
  <si>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</si>
  <si>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</si>
  <si>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</si>
  <si>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</si>
  <si>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</si>
  <si>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</si>
  <si>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</si>
  <si>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</si>
  <si>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</si>
  <si>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</si>
  <si>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</si>
  <si>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</si>
  <si>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</si>
  <si>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</si>
  <si>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</si>
  <si>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</si>
  <si>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</si>
  <si>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</si>
  <si>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</si>
  <si>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</si>
  <si>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</si>
  <si>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</si>
  <si>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</si>
  <si>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</si>
  <si>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</si>
  <si>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</si>
  <si>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</si>
  <si>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</si>
  <si>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</si>
  <si>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</si>
  <si>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</si>
  <si>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</si>
  <si>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</si>
  <si>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</si>
  <si>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</si>
  <si>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</si>
  <si>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</si>
  <si>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</si>
  <si>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</si>
  <si>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</si>
  <si>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</si>
  <si>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</si>
  <si>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</si>
  <si>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</si>
  <si>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</si>
  <si>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</si>
  <si>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</si>
  <si>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</si>
  <si>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</si>
  <si>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</si>
  <si>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</si>
  <si>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</si>
  <si>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</si>
  <si>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</si>
  <si>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</si>
  <si>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</si>
  <si>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</si>
  <si>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</si>
  <si>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</si>
  <si>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</si>
  <si>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</si>
  <si>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</si>
  <si>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</si>
  <si>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</si>
  <si>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</si>
  <si>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</si>
  <si>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</si>
  <si>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</si>
  <si>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</si>
  <si>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</si>
  <si>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</si>
  <si>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</si>
  <si>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</si>
  <si>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</si>
  <si>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</si>
  <si>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</si>
  <si>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</si>
  <si>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</si>
  <si>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</si>
  <si>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</si>
  <si>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</si>
  <si>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</si>
  <si>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</si>
  <si>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</si>
  <si>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</si>
  <si>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</si>
  <si>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</si>
  <si>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</si>
  <si>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</si>
  <si>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</si>
  <si>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</si>
  <si>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</si>
  <si>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</si>
  <si>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</si>
  <si>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</si>
  <si>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</si>
  <si>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</si>
  <si>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</si>
  <si>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</si>
  <si>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</si>
  <si>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</si>
  <si>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</si>
  <si>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</si>
  <si>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</si>
  <si>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</si>
  <si>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</si>
  <si>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</si>
  <si>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</si>
  <si>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</si>
  <si>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</si>
  <si>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</si>
  <si>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</si>
  <si>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</si>
  <si>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</si>
  <si>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</si>
  <si>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</si>
  <si>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</si>
  <si>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</si>
  <si>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</si>
  <si>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</si>
  <si>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</si>
  <si>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</si>
  <si>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</si>
  <si>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</si>
  <si>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</si>
  <si>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</si>
  <si>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</si>
  <si>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</si>
  <si>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</si>
  <si>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</si>
  <si>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</si>
  <si>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</si>
  <si>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</si>
  <si>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</si>
  <si>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</si>
  <si>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</si>
  <si>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</si>
  <si>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</si>
  <si>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</si>
  <si>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</si>
  <si>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</si>
  <si>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</si>
  <si>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</si>
  <si>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</si>
  <si>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</si>
  <si>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</si>
  <si>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</si>
  <si>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</si>
  <si>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</si>
  <si>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</si>
  <si>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</si>
  <si>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</si>
  <si>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</si>
  <si>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</si>
  <si>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</si>
  <si>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</si>
  <si>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</si>
  <si>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</si>
  <si>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</si>
  <si>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</si>
  <si>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</si>
  <si>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</si>
  <si>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</si>
  <si>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</si>
  <si>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</si>
  <si>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</si>
  <si>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</si>
  <si>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</si>
  <si>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</si>
  <si>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</si>
  <si>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</si>
  <si>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</si>
  <si>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</si>
  <si>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</si>
  <si>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</si>
  <si>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</si>
  <si>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</si>
  <si>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</si>
  <si>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</si>
  <si>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</si>
  <si>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</si>
  <si>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</si>
  <si>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</si>
  <si>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</si>
  <si>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</si>
  <si>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</si>
  <si>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</si>
  <si>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</si>
  <si>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</si>
  <si>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</si>
  <si>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</si>
  <si>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</si>
  <si>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</si>
  <si>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</si>
  <si>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</si>
  <si>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</si>
  <si>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</si>
  <si>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</si>
  <si>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</si>
  <si>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</si>
  <si>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</si>
  <si>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</si>
  <si>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</si>
  <si>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</si>
  <si>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</si>
  <si>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</si>
  <si>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</si>
  <si>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</si>
  <si>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</si>
  <si>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</si>
  <si>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</si>
  <si>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</si>
  <si>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</si>
  <si>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</si>
  <si>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</si>
  <si>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</si>
  <si>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</si>
  <si>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</si>
  <si>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</si>
  <si>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</si>
  <si>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</si>
  <si>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</si>
  <si>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</si>
  <si>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</si>
  <si>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</si>
  <si>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</si>
  <si>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</si>
  <si>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</si>
  <si>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</si>
  <si>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</si>
  <si>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</si>
  <si>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</si>
  <si>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</si>
  <si>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</si>
  <si>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</si>
  <si>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</si>
  <si>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</si>
  <si>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</si>
  <si>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</si>
  <si>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</si>
  <si>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</si>
  <si>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</si>
  <si>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</si>
  <si>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</si>
  <si>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</si>
  <si>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</si>
  <si>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</si>
  <si>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</si>
  <si>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</si>
  <si>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</si>
  <si>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</si>
  <si>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</si>
  <si>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</si>
  <si>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</si>
  <si>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</si>
  <si>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</si>
  <si>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</si>
  <si>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</si>
  <si>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</si>
  <si>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</si>
  <si>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</si>
  <si>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</si>
  <si>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</si>
  <si>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</si>
  <si>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</si>
  <si>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</si>
  <si>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</si>
  <si>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</si>
  <si>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</si>
  <si>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</si>
  <si>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</si>
  <si>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</si>
  <si>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</si>
  <si>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</si>
  <si>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</si>
  <si>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</si>
  <si>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</si>
  <si>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</si>
  <si>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</si>
  <si>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</si>
  <si>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</si>
  <si>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</si>
  <si>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</si>
  <si>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</si>
  <si>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</si>
  <si>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</si>
  <si>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</si>
  <si>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</si>
  <si>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</si>
  <si>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</si>
  <si>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</si>
  <si>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</si>
  <si>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</si>
  <si>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</si>
  <si>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</si>
  <si>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</si>
  <si>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</si>
  <si>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</si>
  <si>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</si>
  <si>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</si>
  <si>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Count of Employee Number</t>
  </si>
  <si>
    <t>Average of Age</t>
  </si>
  <si>
    <t>Total Employees</t>
  </si>
  <si>
    <t>Attrition Count</t>
  </si>
  <si>
    <t>Average Age</t>
  </si>
  <si>
    <t>Active Employees</t>
  </si>
  <si>
    <t>Attriton Rate</t>
  </si>
  <si>
    <t>Average of Job Satisfaction</t>
  </si>
  <si>
    <t>Rating</t>
  </si>
  <si>
    <t>Balance Rating</t>
  </si>
  <si>
    <t>Row Labels</t>
  </si>
  <si>
    <t>Grand Total</t>
  </si>
  <si>
    <t>Count of Employee Count</t>
  </si>
  <si>
    <t>Attriton</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</si>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</sst>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6">
    <xf numFmtId="0" fontId="0" fillId="0" borderId="0" xfId="0" applyFont="1" applyAlignment="1"/>
    <xf numFmtId="0" fontId="1" fillId="0" borderId="0" xfId="0" applyFont="1"/>
    <xf numFmtId="0" fontId="0" fillId="0" borderId="1" xfId="0"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7" xfId="0" applyNumberFormat="1" applyFont="1" applyBorder="1" applyAlignment="1"/>
    <xf numFmtId="0" fontId="0" fillId="0" borderId="8" xfId="0" applyFont="1" applyBorder="1" applyAlignment="1"/>
    <xf numFmtId="0" fontId="0" fillId="0" borderId="9" xfId="0" applyNumberFormat="1" applyFont="1" applyBorder="1" applyAlignment="1"/>
    <xf numFmtId="9" fontId="0" fillId="0" borderId="0" xfId="1" applyFont="1" applyAlignment="1"/>
    <xf numFmtId="10" fontId="0" fillId="0" borderId="0" xfId="1" applyNumberFormat="1" applyFont="1" applyAlignment="1"/>
    <xf numFmtId="170" fontId="0" fillId="0" borderId="0" xfId="0" applyNumberFormat="1" applyFont="1" applyAlignment="1"/>
    <xf numFmtId="1" fontId="0" fillId="0" borderId="0" xfId="0" applyNumberFormat="1" applyFont="1" applyAlignment="1"/>
    <xf numFmtId="0" fontId="0" fillId="2" borderId="0" xfId="0" applyFont="1" applyFill="1" applyAlignment="1"/>
    <xf numFmtId="170" fontId="0" fillId="0" borderId="4"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10" xfId="0" applyNumberFormat="1" applyFont="1" applyBorder="1" applyAlignment="1"/>
    <xf numFmtId="0" fontId="0" fillId="0" borderId="6" xfId="0" applyFont="1" applyBorder="1" applyAlignment="1">
      <alignment horizontal="left"/>
    </xf>
    <xf numFmtId="0" fontId="0" fillId="0" borderId="0" xfId="0" applyFont="1" applyFill="1" applyBorder="1" applyAlignment="1">
      <alignment horizontal="left"/>
    </xf>
    <xf numFmtId="10" fontId="0" fillId="0" borderId="3" xfId="0" applyNumberFormat="1" applyFont="1" applyBorder="1" applyAlignment="1"/>
    <xf numFmtId="10" fontId="0" fillId="0" borderId="10" xfId="0" applyNumberFormat="1" applyFont="1" applyBorder="1" applyAlignment="1"/>
    <xf numFmtId="10" fontId="0" fillId="0" borderId="4" xfId="0" applyNumberFormat="1" applyFont="1" applyBorder="1" applyAlignment="1"/>
  </cellXfs>
  <cellStyles count="2">
    <cellStyle name="Normal" xfId="0" builtinId="0"/>
    <cellStyle name="Percent" xfId="1" builtinId="5"/>
  </cellStyles>
  <dxfs count="28">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font>
        <sz val="10"/>
        <name val="Segoe UI Semibold"/>
        <family val="2"/>
        <scheme val="none"/>
      </font>
      <fill>
        <patternFill>
          <bgColor theme="0" tint="-0.14996795556505021"/>
        </patternFill>
      </fill>
    </dxf>
    <dxf>
      <numFmt numFmtId="170"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27"/>
      <tableStyleElement type="firstRowStripe" dxfId="26"/>
      <tableStyleElement type="secondRowStripe" dxfId="25"/>
    </tableStyle>
    <tableStyle name="Slicer" pivot="0" table="0" count="4" xr9:uid="{677AB8E6-E82A-45DD-9A4C-584FEC7F4FB1}">
      <tableStyleElement type="wholeTable" dxfId="23"/>
    </tableStyle>
  </tableStyles>
  <colors>
    <mruColors>
      <color rgb="FFE57FCF"/>
      <color rgb="FF953B88"/>
    </mruColors>
  </colors>
  <extLst>
    <ext xmlns:x14="http://schemas.microsoft.com/office/spreadsheetml/2009/9/main" uri="{46F421CA-312F-682f-3DD2-61675219B42D}">
      <x14:dxfs count="15">
        <dxf>
          <fill>
            <gradientFill>
              <stop position="0">
                <color theme="1" tint="0.25098422193060094"/>
              </stop>
              <stop position="1">
                <color theme="0" tint="-0.25098422193060094"/>
              </stop>
            </gradientFill>
          </fill>
        </dxf>
        <dxf>
          <font>
            <color theme="0"/>
            <name val="Segoe UI Semibold"/>
            <family val="2"/>
            <scheme val="none"/>
          </font>
          <fill>
            <gradientFill>
              <stop position="0">
                <color theme="5" tint="-0.49803155613879818"/>
              </stop>
              <stop position="1">
                <color theme="5" tint="0.40000610370189521"/>
              </stop>
            </gradientFill>
          </fill>
        </dxf>
        <dxf>
          <fill>
            <gradientFill>
              <stop position="0">
                <color theme="1" tint="0.25098422193060094"/>
              </stop>
              <stop position="1">
                <color theme="0" tint="-0.34900967436750391"/>
              </stop>
            </gradientFill>
          </fill>
        </dxf>
        <dxf>
          <fill>
            <gradientFill>
              <stop position="0">
                <color theme="1" tint="0.25098422193060094"/>
              </stop>
              <stop position="1">
                <color theme="0" tint="-0.25098422193060094"/>
              </stop>
            </gradientFill>
          </fill>
        </dxf>
        <dxf>
          <font>
            <color theme="0"/>
            <name val="Segoe UI Semibold"/>
            <family val="2"/>
            <scheme val="none"/>
          </font>
          <fill>
            <gradientFill>
              <stop position="0">
                <color theme="5" tint="-0.49803155613879818"/>
              </stop>
              <stop position="1">
                <color theme="5" tint="0.40000610370189521"/>
              </stop>
            </gradientFill>
          </fill>
        </dxf>
        <dxf>
          <fill>
            <gradientFill>
              <stop position="0">
                <color theme="1" tint="0.25098422193060094"/>
              </stop>
              <stop position="1">
                <color theme="0" tint="-0.34900967436750391"/>
              </stop>
            </gradientFill>
          </fill>
        </dxf>
        <dxf>
          <fill>
            <gradientFill>
              <stop position="0">
                <color theme="1" tint="0.25098422193060094"/>
              </stop>
              <stop position="1">
                <color theme="0" tint="-0.25098422193060094"/>
              </stop>
            </gradientFill>
          </fill>
        </dxf>
        <dxf>
          <font>
            <color theme="0"/>
            <name val="Segoe UI Semibold"/>
            <family val="2"/>
            <scheme val="none"/>
          </font>
          <fill>
            <gradientFill>
              <stop position="0">
                <color theme="5" tint="-0.49803155613879818"/>
              </stop>
              <stop position="1">
                <color theme="5" tint="0.40000610370189521"/>
              </stop>
            </gradientFill>
          </fill>
        </dxf>
        <dxf>
          <fill>
            <gradientFill>
              <stop position="0">
                <color theme="1" tint="0.25098422193060094"/>
              </stop>
              <stop position="1">
                <color theme="0" tint="-0.34900967436750391"/>
              </stop>
            </gradientFill>
          </fill>
        </dxf>
        <dxf>
          <fill>
            <gradientFill>
              <stop position="0">
                <color theme="1" tint="0.25098422193060094"/>
              </stop>
              <stop position="1">
                <color theme="0" tint="-0.25098422193060094"/>
              </stop>
            </gradientFill>
          </fill>
        </dxf>
        <dxf>
          <font>
            <color theme="0"/>
            <name val="Segoe UI Semibold"/>
            <family val="2"/>
            <scheme val="none"/>
          </font>
          <fill>
            <gradientFill>
              <stop position="0">
                <color theme="5" tint="-0.49803155613879818"/>
              </stop>
              <stop position="1">
                <color theme="5" tint="0.40000610370189521"/>
              </stop>
            </gradientFill>
          </fill>
        </dxf>
        <dxf>
          <fill>
            <gradientFill>
              <stop position="0">
                <color theme="1" tint="0.25098422193060094"/>
              </stop>
              <stop position="1">
                <color theme="0" tint="-0.34900967436750391"/>
              </stop>
            </gradientFill>
          </fill>
        </dxf>
        <dxf>
          <fill>
            <gradientFill>
              <stop position="0">
                <color theme="1" tint="0.25098422193060094"/>
              </stop>
              <stop position="1">
                <color theme="0" tint="-0.34900967436750391"/>
              </stop>
            </gradientFill>
          </fill>
        </dxf>
        <dxf>
          <fill>
            <gradientFill>
              <stop position="0">
                <color theme="1" tint="0.25098422193060094"/>
              </stop>
              <stop position="1">
                <color theme="0" tint="-0.25098422193060094"/>
              </stop>
            </gradientFill>
          </fill>
        </dxf>
        <dxf>
          <font>
            <name val="Segoe UI Semibold"/>
            <family val="2"/>
            <scheme val="none"/>
          </font>
          <fill>
            <gradientFill>
              <stop position="0">
                <color theme="5" tint="-0.49803155613879818"/>
              </stop>
              <stop position="1">
                <color theme="5" tint="0.4000061037018952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C6E1-404D-9F8A-094B492ED1E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742C-4A8F-BF19-B49A8F33C337}"/>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742C-4A8F-BF19-B49A8F33C337}"/>
            </c:ext>
          </c:extLst>
        </c:ser>
        <c:dLbls>
          <c:showLegendKey val="0"/>
          <c:showVal val="0"/>
          <c:showCatName val="0"/>
          <c:showSerName val="0"/>
          <c:showPercent val="0"/>
          <c:showBubbleSize val="0"/>
        </c:dLbls>
        <c:gapWidth val="0"/>
        <c:overlap val="100"/>
        <c:axId val="1101883312"/>
        <c:axId val="1101883728"/>
      </c:barChart>
      <c:catAx>
        <c:axId val="1101883312"/>
        <c:scaling>
          <c:orientation val="minMax"/>
        </c:scaling>
        <c:delete val="1"/>
        <c:axPos val="l"/>
        <c:majorTickMark val="out"/>
        <c:minorTickMark val="none"/>
        <c:tickLblPos val="nextTo"/>
        <c:crossAx val="1101883728"/>
        <c:crosses val="autoZero"/>
        <c:auto val="1"/>
        <c:lblAlgn val="ctr"/>
        <c:lblOffset val="100"/>
        <c:noMultiLvlLbl val="0"/>
      </c:catAx>
      <c:valAx>
        <c:axId val="1101883728"/>
        <c:scaling>
          <c:orientation val="minMax"/>
          <c:max val="4"/>
          <c:min val="0"/>
        </c:scaling>
        <c:delete val="1"/>
        <c:axPos val="b"/>
        <c:numFmt formatCode="0.0" sourceLinked="1"/>
        <c:majorTickMark val="out"/>
        <c:minorTickMark val="none"/>
        <c:tickLblPos val="nextTo"/>
        <c:crossAx val="110188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Gender!$C$9:$C$10</c:f>
              <c:numCache>
                <c:formatCode>0%</c:formatCode>
                <c:ptCount val="2"/>
                <c:pt idx="0">
                  <c:v>0.4</c:v>
                </c:pt>
                <c:pt idx="1">
                  <c:v>0.6</c:v>
                </c:pt>
              </c:numCache>
            </c:numRef>
          </c:val>
          <c:extLst>
            <c:ext xmlns:c16="http://schemas.microsoft.com/office/drawing/2014/chart" uri="{C3380CC4-5D6E-409C-BE32-E72D297353CC}">
              <c16:uniqueId val="{00000000-4DFE-4228-BFCD-318F49677D1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146-4318-8C80-3584813A6397}"/>
            </c:ext>
          </c:extLst>
        </c:ser>
        <c:dLbls>
          <c:dLblPos val="outEnd"/>
          <c:showLegendKey val="0"/>
          <c:showVal val="1"/>
          <c:showCatName val="0"/>
          <c:showSerName val="0"/>
          <c:showPercent val="0"/>
          <c:showBubbleSize val="0"/>
        </c:dLbls>
        <c:gapWidth val="182"/>
        <c:axId val="467665792"/>
        <c:axId val="467666208"/>
      </c:barChart>
      <c:catAx>
        <c:axId val="46766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66208"/>
        <c:crosses val="autoZero"/>
        <c:auto val="1"/>
        <c:lblAlgn val="ctr"/>
        <c:lblOffset val="100"/>
        <c:noMultiLvlLbl val="0"/>
      </c:catAx>
      <c:valAx>
        <c:axId val="467666208"/>
        <c:scaling>
          <c:orientation val="minMax"/>
        </c:scaling>
        <c:delete val="1"/>
        <c:axPos val="b"/>
        <c:numFmt formatCode="General" sourceLinked="1"/>
        <c:majorTickMark val="none"/>
        <c:minorTickMark val="none"/>
        <c:tickLblPos val="nextTo"/>
        <c:crossAx val="46766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7C07-4F73-A885-3496CACA4CC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Age Group!Attrition by Age Group</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026-4CF2-AF8A-67397A5917BA}"/>
            </c:ext>
          </c:extLst>
        </c:ser>
        <c:dLbls>
          <c:showLegendKey val="0"/>
          <c:showVal val="0"/>
          <c:showCatName val="0"/>
          <c:showSerName val="0"/>
          <c:showPercent val="0"/>
          <c:showBubbleSize val="0"/>
        </c:dLbls>
        <c:gapWidth val="182"/>
        <c:axId val="468689120"/>
        <c:axId val="468694112"/>
      </c:barChart>
      <c:catAx>
        <c:axId val="46868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94112"/>
        <c:crosses val="autoZero"/>
        <c:auto val="1"/>
        <c:lblAlgn val="ctr"/>
        <c:lblOffset val="100"/>
        <c:noMultiLvlLbl val="0"/>
      </c:catAx>
      <c:valAx>
        <c:axId val="468694112"/>
        <c:scaling>
          <c:orientation val="minMax"/>
        </c:scaling>
        <c:delete val="1"/>
        <c:axPos val="l"/>
        <c:numFmt formatCode="General" sourceLinked="1"/>
        <c:majorTickMark val="none"/>
        <c:minorTickMark val="none"/>
        <c:tickLblPos val="nextTo"/>
        <c:crossAx val="46868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5EE-4C64-A046-E9AA77F8D72F}"/>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35EE-4C64-A046-E9AA77F8D72F}"/>
            </c:ext>
          </c:extLst>
        </c:ser>
        <c:dLbls>
          <c:showLegendKey val="0"/>
          <c:showVal val="0"/>
          <c:showCatName val="0"/>
          <c:showSerName val="0"/>
          <c:showPercent val="0"/>
          <c:showBubbleSize val="0"/>
        </c:dLbls>
        <c:gapWidth val="0"/>
        <c:overlap val="100"/>
        <c:axId val="1101883312"/>
        <c:axId val="1101883728"/>
      </c:barChart>
      <c:catAx>
        <c:axId val="1101883312"/>
        <c:scaling>
          <c:orientation val="minMax"/>
        </c:scaling>
        <c:delete val="1"/>
        <c:axPos val="l"/>
        <c:majorTickMark val="out"/>
        <c:minorTickMark val="none"/>
        <c:tickLblPos val="nextTo"/>
        <c:crossAx val="1101883728"/>
        <c:crosses val="autoZero"/>
        <c:auto val="1"/>
        <c:lblAlgn val="ctr"/>
        <c:lblOffset val="100"/>
        <c:noMultiLvlLbl val="0"/>
      </c:catAx>
      <c:valAx>
        <c:axId val="1101883728"/>
        <c:scaling>
          <c:orientation val="minMax"/>
          <c:max val="4"/>
          <c:min val="0"/>
        </c:scaling>
        <c:delete val="1"/>
        <c:axPos val="b"/>
        <c:numFmt formatCode="0.0" sourceLinked="1"/>
        <c:majorTickMark val="out"/>
        <c:minorTickMark val="none"/>
        <c:tickLblPos val="nextTo"/>
        <c:crossAx val="110188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37A0-4CC7-B0CB-CE164CD0266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37A0-4CC7-B0CB-CE164CD0266C}"/>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37A0-4CC7-B0CB-CE164CD0266C}"/>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953B88"/>
                  </a:gs>
                  <a:gs pos="100000">
                    <a:srgbClr val="E57FCF"/>
                  </a:gs>
                </a:gsLst>
                <a:lin ang="10800000" scaled="0"/>
              </a:gradFill>
              <a:ln w="19050">
                <a:noFill/>
              </a:ln>
              <a:effectLst/>
            </c:spPr>
            <c:extLst>
              <c:ext xmlns:c16="http://schemas.microsoft.com/office/drawing/2014/chart" uri="{C3380CC4-5D6E-409C-BE32-E72D297353CC}">
                <c16:uniqueId val="{00000001-1E1A-4BDE-AC72-B7EE4E6C5338}"/>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1E1A-4BDE-AC72-B7EE4E6C533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1E1A-4BDE-AC72-B7EE4E6C533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64FC-4391-971C-D0FC44B5AA41}"/>
              </c:ext>
            </c:extLst>
          </c:dPt>
          <c:dPt>
            <c:idx val="1"/>
            <c:bubble3D val="0"/>
            <c:spPr>
              <a:gradFill>
                <a:gsLst>
                  <a:gs pos="0">
                    <a:schemeClr val="accent1">
                      <a:lumMod val="75000"/>
                    </a:schemeClr>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64FC-4391-971C-D0FC44B5AA41}"/>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64FC-4391-971C-D0FC44B5AA4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100000">
                <a:schemeClr val="accent6">
                  <a:lumMod val="5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75000"/>
                  </a:schemeClr>
                </a:gs>
                <a:gs pos="100000">
                  <a:schemeClr val="accent6">
                    <a:lumMod val="5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FE08-4917-BCAA-55ED49428BA7}"/>
            </c:ext>
          </c:extLst>
        </c:ser>
        <c:dLbls>
          <c:dLblPos val="outEnd"/>
          <c:showLegendKey val="0"/>
          <c:showVal val="1"/>
          <c:showCatName val="0"/>
          <c:showSerName val="0"/>
          <c:showPercent val="0"/>
          <c:showBubbleSize val="0"/>
        </c:dLbls>
        <c:gapWidth val="75"/>
        <c:axId val="467665792"/>
        <c:axId val="467666208"/>
      </c:barChart>
      <c:catAx>
        <c:axId val="46766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67666208"/>
        <c:crosses val="autoZero"/>
        <c:auto val="1"/>
        <c:lblAlgn val="ctr"/>
        <c:lblOffset val="100"/>
        <c:noMultiLvlLbl val="0"/>
      </c:catAx>
      <c:valAx>
        <c:axId val="467666208"/>
        <c:scaling>
          <c:orientation val="minMax"/>
        </c:scaling>
        <c:delete val="1"/>
        <c:axPos val="b"/>
        <c:numFmt formatCode="General" sourceLinked="1"/>
        <c:majorTickMark val="none"/>
        <c:minorTickMark val="none"/>
        <c:tickLblPos val="nextTo"/>
        <c:crossAx val="46766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(1).xlsx]Dept Wise Attrition!Dept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gradFill>
            <a:gsLst>
              <a:gs pos="0">
                <a:schemeClr val="bg1">
                  <a:lumMod val="50000"/>
                </a:schemeClr>
              </a:gs>
              <a:gs pos="100000">
                <a:schemeClr val="accent6">
                  <a:lumMod val="50000"/>
                </a:schemeClr>
              </a:gs>
            </a:gsLst>
            <a:lin ang="108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0"/>
                </a:schemeClr>
              </a:gs>
              <a:gs pos="100000">
                <a:schemeClr val="accent5">
                  <a:lumMod val="75000"/>
                </a:schemeClr>
              </a:gs>
            </a:gsLst>
            <a:lin ang="10800000" scaled="0"/>
          </a:gradFill>
          <a:ln w="19050">
            <a:solidFill>
              <a:schemeClr val="lt1"/>
            </a:solidFill>
          </a:ln>
          <a:effectLst/>
        </c:spPr>
      </c:pivotFmt>
      <c:pivotFmt>
        <c:idx val="7"/>
        <c:spPr>
          <a:gradFill>
            <a:gsLst>
              <a:gs pos="0">
                <a:schemeClr val="accent6">
                  <a:lumMod val="50000"/>
                </a:schemeClr>
              </a:gs>
              <a:gs pos="100000">
                <a:schemeClr val="accent6">
                  <a:lumMod val="60000"/>
                  <a:lumOff val="40000"/>
                </a:schemeClr>
              </a:gs>
            </a:gsLst>
            <a:lin ang="10800000" scaled="0"/>
          </a:gradFill>
          <a:ln w="19050">
            <a:solidFill>
              <a:schemeClr val="lt1"/>
            </a:solidFill>
          </a:ln>
          <a:effectLst/>
        </c:spPr>
      </c:pivotFmt>
      <c:pivotFmt>
        <c:idx val="8"/>
        <c:spPr>
          <a:gradFill>
            <a:gsLst>
              <a:gs pos="0">
                <a:srgbClr val="953B88"/>
              </a:gs>
              <a:gs pos="100000">
                <a:srgbClr val="E57FCF"/>
              </a:gs>
            </a:gsLst>
            <a:lin ang="10800000" scaled="0"/>
          </a:gradFill>
          <a:ln w="19050">
            <a:solidFill>
              <a:schemeClr val="lt1"/>
            </a:solidFill>
          </a:ln>
          <a:effectLst/>
        </c:spPr>
      </c:pivotFmt>
    </c:pivotFmts>
    <c:plotArea>
      <c:layout>
        <c:manualLayout>
          <c:layoutTarget val="inner"/>
          <c:xMode val="edge"/>
          <c:yMode val="edge"/>
          <c:x val="0.24393486236563749"/>
          <c:y val="0.11350171392510362"/>
          <c:w val="0.4399410700365452"/>
          <c:h val="0.8822861896361317"/>
        </c:manualLayout>
      </c:layout>
      <c:pieChart>
        <c:varyColors val="1"/>
        <c:ser>
          <c:idx val="0"/>
          <c:order val="0"/>
          <c:tx>
            <c:strRef>
              <c:f>'Dept Wise Attrition'!$B$3</c:f>
              <c:strCache>
                <c:ptCount val="1"/>
                <c:pt idx="0">
                  <c:v>Total</c:v>
                </c:pt>
              </c:strCache>
            </c:strRef>
          </c:tx>
          <c:spPr>
            <a:gradFill>
              <a:gsLst>
                <a:gs pos="0">
                  <a:schemeClr val="bg1">
                    <a:lumMod val="50000"/>
                  </a:schemeClr>
                </a:gs>
                <a:gs pos="100000">
                  <a:schemeClr val="accent6">
                    <a:lumMod val="50000"/>
                  </a:schemeClr>
                </a:gs>
              </a:gsLst>
              <a:lin ang="10800000" scaled="0"/>
            </a:gradFill>
          </c:spPr>
          <c:dPt>
            <c:idx val="0"/>
            <c:bubble3D val="0"/>
            <c:spPr>
              <a:gradFill>
                <a:gsLst>
                  <a:gs pos="0">
                    <a:schemeClr val="accent1">
                      <a:lumMod val="50000"/>
                    </a:schemeClr>
                  </a:gs>
                  <a:gs pos="100000">
                    <a:schemeClr val="accent5">
                      <a:lumMod val="75000"/>
                    </a:schemeClr>
                  </a:gs>
                </a:gsLst>
                <a:lin ang="10800000" scaled="0"/>
              </a:gradFill>
              <a:ln w="19050">
                <a:solidFill>
                  <a:schemeClr val="lt1"/>
                </a:solidFill>
              </a:ln>
              <a:effectLst/>
            </c:spPr>
            <c:extLst>
              <c:ext xmlns:c16="http://schemas.microsoft.com/office/drawing/2014/chart" uri="{C3380CC4-5D6E-409C-BE32-E72D297353CC}">
                <c16:uniqueId val="{00000001-4C12-4B5E-87F8-E7ACE897D361}"/>
              </c:ext>
            </c:extLst>
          </c:dPt>
          <c:dPt>
            <c:idx val="1"/>
            <c:bubble3D val="0"/>
            <c:spPr>
              <a:gradFill>
                <a:gsLst>
                  <a:gs pos="0">
                    <a:schemeClr val="accent6">
                      <a:lumMod val="50000"/>
                    </a:schemeClr>
                  </a:gs>
                  <a:gs pos="100000">
                    <a:schemeClr val="accent6">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3-4C12-4B5E-87F8-E7ACE897D361}"/>
              </c:ext>
            </c:extLst>
          </c:dPt>
          <c:dPt>
            <c:idx val="2"/>
            <c:bubble3D val="0"/>
            <c:spPr>
              <a:gradFill>
                <a:gsLst>
                  <a:gs pos="0">
                    <a:srgbClr val="953B88"/>
                  </a:gs>
                  <a:gs pos="100000">
                    <a:srgbClr val="E57FCF"/>
                  </a:gs>
                </a:gsLst>
                <a:lin ang="10800000" scaled="0"/>
              </a:gradFill>
              <a:ln w="19050">
                <a:solidFill>
                  <a:schemeClr val="lt1"/>
                </a:solidFill>
              </a:ln>
              <a:effectLst/>
            </c:spPr>
            <c:extLst>
              <c:ext xmlns:c16="http://schemas.microsoft.com/office/drawing/2014/chart" uri="{C3380CC4-5D6E-409C-BE32-E72D297353CC}">
                <c16:uniqueId val="{00000005-4C12-4B5E-87F8-E7ACE897D3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C12-4B5E-87F8-E7ACE897D36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69423644932667"/>
          <c:y val="0.29371426932289202"/>
          <c:w val="0.14848348316133508"/>
          <c:h val="0.41894927068542659"/>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Age Group!Attrition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50000"/>
                </a:schemeClr>
              </a:gs>
              <a:gs pos="100000">
                <a:schemeClr val="accent4">
                  <a:lumMod val="75000"/>
                </a:schemeClr>
              </a:gs>
            </a:gsLst>
            <a:lin ang="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flip="none" rotWithShape="1">
              <a:gsLst>
                <a:gs pos="0">
                  <a:schemeClr val="accent4">
                    <a:lumMod val="50000"/>
                  </a:schemeClr>
                </a:gs>
                <a:gs pos="100000">
                  <a:schemeClr val="accent4">
                    <a:lumMod val="75000"/>
                  </a:schemeClr>
                </a:gs>
              </a:gsLst>
              <a:lin ang="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14F-4DCA-9A21-45AF316C45BF}"/>
            </c:ext>
          </c:extLst>
        </c:ser>
        <c:dLbls>
          <c:dLblPos val="outEnd"/>
          <c:showLegendKey val="0"/>
          <c:showVal val="1"/>
          <c:showCatName val="0"/>
          <c:showSerName val="0"/>
          <c:showPercent val="0"/>
          <c:showBubbleSize val="0"/>
        </c:dLbls>
        <c:gapWidth val="100"/>
        <c:axId val="468689120"/>
        <c:axId val="468694112"/>
      </c:barChart>
      <c:catAx>
        <c:axId val="46868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68694112"/>
        <c:crosses val="autoZero"/>
        <c:auto val="1"/>
        <c:lblAlgn val="ctr"/>
        <c:lblOffset val="100"/>
        <c:noMultiLvlLbl val="0"/>
      </c:catAx>
      <c:valAx>
        <c:axId val="468694112"/>
        <c:scaling>
          <c:orientation val="minMax"/>
        </c:scaling>
        <c:delete val="1"/>
        <c:axPos val="l"/>
        <c:numFmt formatCode="General" sourceLinked="1"/>
        <c:majorTickMark val="none"/>
        <c:minorTickMark val="none"/>
        <c:tickLblPos val="nextTo"/>
        <c:crossAx val="46868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419B2301-B142-44F5-A09E-0AAF5311E4B1}">
          <cx:tx>
            <cx:txData>
              <cx:f>_xlchart.v1.1</cx:f>
              <cx:v>Attriton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A81D93AD-C123-4F21-B6A4-2FCB41DD81DF}">
          <cx:tx>
            <cx:txData>
              <cx:f>_xlchart.v2.4</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plotArea>
      <cx:plotAreaRegion>
        <cx:series layoutId="treemap" uniqueId="{419B2301-B142-44F5-A09E-0AAF5311E4B1}">
          <cx:tx>
            <cx:txData>
              <cx:f>_xlchart.v1.13</cx:f>
              <cx:v>Attriton</cx:v>
            </cx:txData>
          </cx:tx>
          <cx:dataPt idx="2">
            <cx:spPr>
              <a:solidFill>
                <a:srgbClr val="4472C4">
                  <a:lumMod val="60000"/>
                  <a:lumOff val="40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A81D93AD-C123-4F21-B6A4-2FCB41DD81DF}">
          <cx:tx>
            <cx:txData>
              <cx:f>_xlchart.v2.10</cx:f>
              <cx:v>Attrition</cx:v>
            </cx:txData>
          </cx:tx>
          <cx:spPr>
            <a:gradFill>
              <a:gsLst>
                <a:gs pos="0">
                  <a:srgbClr val="953B88"/>
                </a:gs>
                <a:gs pos="100000">
                  <a:srgbClr val="E57FCF"/>
                </a:gs>
              </a:gsLst>
              <a:lin ang="5400000" scaled="0"/>
            </a:gradFill>
          </cx:spPr>
          <cx:dataLabels>
            <cx:txPr>
              <a:bodyPr spcFirstLastPara="1" vertOverflow="ellipsis" horzOverflow="overflow" wrap="square" lIns="0" tIns="0" rIns="0" bIns="0" anchor="ctr" anchorCtr="1"/>
              <a:lstStyle/>
              <a:p>
                <a:pPr algn="ctr" rtl="0">
                  <a:defRPr sz="1000" b="1">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1" i="0" u="none" strike="noStrike" baseline="0">
                  <a:solidFill>
                    <a:sysClr val="windowText" lastClr="000000"/>
                  </a:solidFill>
                  <a:latin typeface="Segoe UI Semibold" panose="020B0702040204020203" pitchFamily="34" charset="0"/>
                  <a:ea typeface="Calibri"/>
                  <a:cs typeface="Segoe UI Semibold" panose="020B07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ysClr val="windowText" lastClr="000000"/>
              </a:solidFill>
              <a:latin typeface="Segoe UI Semibold" panose="020B0702040204020203" pitchFamily="34" charset="0"/>
              <a:ea typeface="Calibri"/>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png"/><Relationship Id="rId1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image" Target="../media/image8.svg"/><Relationship Id="rId17" Type="http://schemas.openxmlformats.org/officeDocument/2006/relationships/chart" Target="../charts/chart12.xml"/><Relationship Id="rId2" Type="http://schemas.openxmlformats.org/officeDocument/2006/relationships/image" Target="../media/image2.png"/><Relationship Id="rId16"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chart" Target="../charts/chart10.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image" Target="../media/image10.svg"/></Relationships>
</file>

<file path=xl/drawings/_rels/drawing10.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7</xdr:col>
      <xdr:colOff>419100</xdr:colOff>
      <xdr:row>1</xdr:row>
      <xdr:rowOff>99061</xdr:rowOff>
    </xdr:from>
    <xdr:to>
      <xdr:col>10</xdr:col>
      <xdr:colOff>236220</xdr:colOff>
      <xdr:row>6</xdr:row>
      <xdr:rowOff>160021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CAF63F95-A723-72E7-2D56-5B6A14441F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488680" y="297181"/>
              <a:ext cx="18288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666750</xdr:colOff>
      <xdr:row>2</xdr:row>
      <xdr:rowOff>26670</xdr:rowOff>
    </xdr:from>
    <xdr:to>
      <xdr:col>8</xdr:col>
      <xdr:colOff>434340</xdr:colOff>
      <xdr:row>9</xdr:row>
      <xdr:rowOff>121920</xdr:rowOff>
    </xdr:to>
    <xdr:graphicFrame macro="">
      <xdr:nvGraphicFramePr>
        <xdr:cNvPr id="3" name="Chart 2">
          <a:extLst>
            <a:ext uri="{FF2B5EF4-FFF2-40B4-BE49-F238E27FC236}">
              <a16:creationId xmlns:a16="http://schemas.microsoft.com/office/drawing/2014/main" id="{C23285FA-4EFC-233A-E4FB-07B82ADD7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228600</xdr:colOff>
      <xdr:row>1</xdr:row>
      <xdr:rowOff>152401</xdr:rowOff>
    </xdr:from>
    <xdr:to>
      <xdr:col>12</xdr:col>
      <xdr:colOff>45720</xdr:colOff>
      <xdr:row>6</xdr:row>
      <xdr:rowOff>83821</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58A09A8D-B3FA-B638-7BE6-BD9FB6D3698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391400" y="35052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643890</xdr:colOff>
      <xdr:row>11</xdr:row>
      <xdr:rowOff>11430</xdr:rowOff>
    </xdr:from>
    <xdr:to>
      <xdr:col>10</xdr:col>
      <xdr:colOff>521970</xdr:colOff>
      <xdr:row>17</xdr:row>
      <xdr:rowOff>7620</xdr:rowOff>
    </xdr:to>
    <xdr:graphicFrame macro="">
      <xdr:nvGraphicFramePr>
        <xdr:cNvPr id="6" name="Chart 5">
          <a:extLst>
            <a:ext uri="{FF2B5EF4-FFF2-40B4-BE49-F238E27FC236}">
              <a16:creationId xmlns:a16="http://schemas.microsoft.com/office/drawing/2014/main" id="{B9D106E2-6F6A-7BEA-9A3D-B69A77498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281940</xdr:colOff>
      <xdr:row>8</xdr:row>
      <xdr:rowOff>160021</xdr:rowOff>
    </xdr:from>
    <xdr:to>
      <xdr:col>15</xdr:col>
      <xdr:colOff>99060</xdr:colOff>
      <xdr:row>19</xdr:row>
      <xdr:rowOff>114301</xdr:rowOff>
    </xdr:to>
    <mc:AlternateContent xmlns:mc="http://schemas.openxmlformats.org/markup-compatibility/2006">
      <mc:Choice xmlns:a14="http://schemas.microsoft.com/office/drawing/2010/main" Requires="a14">
        <xdr:graphicFrame macro="">
          <xdr:nvGraphicFramePr>
            <xdr:cNvPr id="7" name="Education Field">
              <a:extLst>
                <a:ext uri="{FF2B5EF4-FFF2-40B4-BE49-F238E27FC236}">
                  <a16:creationId xmlns:a16="http://schemas.microsoft.com/office/drawing/2014/main" id="{62B32987-BF9F-EA23-0C26-A0AD4111F927}"/>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9456420" y="1744981"/>
              <a:ext cx="182880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304800</xdr:colOff>
      <xdr:row>1</xdr:row>
      <xdr:rowOff>129540</xdr:rowOff>
    </xdr:from>
    <xdr:to>
      <xdr:col>16</xdr:col>
      <xdr:colOff>121920</xdr:colOff>
      <xdr:row>15</xdr:row>
      <xdr:rowOff>51435</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D6C915D0-13E4-DCCD-46A2-A2D49647571E}"/>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0347960" y="3276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236220</xdr:colOff>
      <xdr:row>1</xdr:row>
      <xdr:rowOff>114301</xdr:rowOff>
    </xdr:from>
    <xdr:to>
      <xdr:col>19</xdr:col>
      <xdr:colOff>53340</xdr:colOff>
      <xdr:row>6</xdr:row>
      <xdr:rowOff>137161</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AE29472C-490A-AD1D-4EB6-582D4A20A9E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2291060" y="31242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384810</xdr:colOff>
      <xdr:row>1</xdr:row>
      <xdr:rowOff>148590</xdr:rowOff>
    </xdr:from>
    <xdr:to>
      <xdr:col>8</xdr:col>
      <xdr:colOff>320040</xdr:colOff>
      <xdr:row>9</xdr:row>
      <xdr:rowOff>76200</xdr:rowOff>
    </xdr:to>
    <xdr:graphicFrame macro="">
      <xdr:nvGraphicFramePr>
        <xdr:cNvPr id="4" name="Chart 3">
          <a:extLst>
            <a:ext uri="{FF2B5EF4-FFF2-40B4-BE49-F238E27FC236}">
              <a16:creationId xmlns:a16="http://schemas.microsoft.com/office/drawing/2014/main" id="{BD9D2739-7217-138F-83D7-0CA8CB8AE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537210</xdr:colOff>
      <xdr:row>2</xdr:row>
      <xdr:rowOff>57150</xdr:rowOff>
    </xdr:from>
    <xdr:to>
      <xdr:col>9</xdr:col>
      <xdr:colOff>415290</xdr:colOff>
      <xdr:row>16</xdr:row>
      <xdr:rowOff>26670</xdr:rowOff>
    </xdr:to>
    <xdr:graphicFrame macro="">
      <xdr:nvGraphicFramePr>
        <xdr:cNvPr id="2" name="Chart 1">
          <a:extLst>
            <a:ext uri="{FF2B5EF4-FFF2-40B4-BE49-F238E27FC236}">
              <a16:creationId xmlns:a16="http://schemas.microsoft.com/office/drawing/2014/main" id="{6B9ECFFE-80ED-64FE-70ED-0BB1D648D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643890</xdr:colOff>
      <xdr:row>1</xdr:row>
      <xdr:rowOff>95250</xdr:rowOff>
    </xdr:from>
    <xdr:to>
      <xdr:col>12</xdr:col>
      <xdr:colOff>521970</xdr:colOff>
      <xdr:row>15</xdr:row>
      <xdr:rowOff>64770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E73E759-4218-7853-714E-5E70B65B81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73290" y="2933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6</xdr:row>
      <xdr:rowOff>41910</xdr:rowOff>
    </xdr:from>
    <xdr:to>
      <xdr:col>9</xdr:col>
      <xdr:colOff>331470</xdr:colOff>
      <xdr:row>20</xdr:row>
      <xdr:rowOff>11430</xdr:rowOff>
    </xdr:to>
    <xdr:graphicFrame macro="">
      <xdr:nvGraphicFramePr>
        <xdr:cNvPr id="2" name="Chart 1">
          <a:extLst>
            <a:ext uri="{FF2B5EF4-FFF2-40B4-BE49-F238E27FC236}">
              <a16:creationId xmlns:a16="http://schemas.microsoft.com/office/drawing/2014/main" id="{3CA49AD7-3814-72B9-3854-81A78FCF2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262890</xdr:colOff>
      <xdr:row>6</xdr:row>
      <xdr:rowOff>41910</xdr:rowOff>
    </xdr:from>
    <xdr:to>
      <xdr:col>9</xdr:col>
      <xdr:colOff>140970</xdr:colOff>
      <xdr:row>20</xdr:row>
      <xdr:rowOff>11430</xdr:rowOff>
    </xdr:to>
    <xdr:graphicFrame macro="">
      <xdr:nvGraphicFramePr>
        <xdr:cNvPr id="2" name="Chart 1">
          <a:extLst>
            <a:ext uri="{FF2B5EF4-FFF2-40B4-BE49-F238E27FC236}">
              <a16:creationId xmlns:a16="http://schemas.microsoft.com/office/drawing/2014/main" id="{BD817E1E-8D59-14C6-CB8D-E642E1642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571500</xdr:colOff>
      <xdr:row>2</xdr:row>
      <xdr:rowOff>182881</xdr:rowOff>
    </xdr:from>
    <xdr:to>
      <xdr:col>13</xdr:col>
      <xdr:colOff>388620</xdr:colOff>
      <xdr:row>9</xdr:row>
      <xdr:rowOff>76201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B2E6784C-BEF6-5616-FC22-0821FA26F75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602980" y="57912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533400</xdr:colOff>
      <xdr:row>3</xdr:row>
      <xdr:rowOff>160021</xdr:rowOff>
    </xdr:from>
    <xdr:to>
      <xdr:col>16</xdr:col>
      <xdr:colOff>350520</xdr:colOff>
      <xdr:row>14</xdr:row>
      <xdr:rowOff>167641</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D15E32DA-CD9B-4ACC-167B-1A86CCB99CC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0576560" y="75438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87630</xdr:colOff>
      <xdr:row>2</xdr:row>
      <xdr:rowOff>26670</xdr:rowOff>
    </xdr:from>
    <xdr:to>
      <xdr:col>12</xdr:col>
      <xdr:colOff>636270</xdr:colOff>
      <xdr:row>15</xdr:row>
      <xdr:rowOff>194310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E330D2D-7F57-70B5-9FCE-73B60403FD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48350" y="4229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133351</xdr:colOff>
      <xdr:row>0</xdr:row>
      <xdr:rowOff>76201</xdr:rowOff>
    </xdr:from>
    <xdr:ext cx="13310506" cy="6291942"/>
    <xdr:grpSp>
      <xdr:nvGrpSpPr>
        <xdr:cNvPr id="2" name="Shape 2">
          <a:extLst>
            <a:ext uri="{FF2B5EF4-FFF2-40B4-BE49-F238E27FC236}">
              <a16:creationId xmlns:a16="http://schemas.microsoft.com/office/drawing/2014/main" id="{C34B7214-C429-4471-BF09-9D140B3171F4}"/>
            </a:ext>
          </a:extLst>
        </xdr:cNvPr>
        <xdr:cNvGrpSpPr/>
      </xdr:nvGrpSpPr>
      <xdr:grpSpPr>
        <a:xfrm>
          <a:off x="1466851" y="76201"/>
          <a:ext cx="13310506" cy="6291942"/>
          <a:chOff x="0" y="60488"/>
          <a:chExt cx="10692000" cy="7439025"/>
        </a:xfrm>
      </xdr:grpSpPr>
      <xdr:grpSp>
        <xdr:nvGrpSpPr>
          <xdr:cNvPr id="3" name="Shape 29">
            <a:extLst>
              <a:ext uri="{FF2B5EF4-FFF2-40B4-BE49-F238E27FC236}">
                <a16:creationId xmlns:a16="http://schemas.microsoft.com/office/drawing/2014/main" id="{49A530D2-6000-A55A-4779-51F93B448C46}"/>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7EEC0764-F1D6-1F3A-5644-9990DD65F83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57FC52F4-A433-0A1D-609E-BBB500EE4C95}"/>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B3177393-8AEC-0549-1AFE-C826EA91E47A}"/>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7AC50E7C-A339-8866-8BFE-2AF14FCDBDD6}"/>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5F33D07E-377B-E501-78B4-C997CB46EF96}"/>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438BC14E-2FC2-8104-2AA4-1CC26C535E6B}"/>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64A47AB6-FF63-0802-3B45-2F12056FDE8F}"/>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EAEE3DA5-3887-C970-5E74-EF48F1595846}"/>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971F9C11-CE78-1203-BFFE-3333AC995821}"/>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308EE071-AC7A-5B12-57DE-46F1E094DD0E}"/>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4999FA65-7DEE-0C50-0C7F-8736DE6DC8DF}"/>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3B32F4F5-918E-0B72-2173-2FE206FDF07F}"/>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2BE966DF-EF37-EA96-A119-CDF226A7D545}"/>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C102A7DE-9541-CD8D-E414-89B5C07E31FD}"/>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0434B2C4-4436-36B5-9FB0-ABB64C5C9616}"/>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AB39F24B-A39B-C775-C120-3A490812B7A8}"/>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EC73389C-296C-57E7-D332-8C697A247B2E}"/>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9D7D0EA6-8D76-FAD0-43B3-92262215FDF7}"/>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31E9B32A-4C43-01E8-4EE7-7EF6FA06E97C}"/>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F5DD0283-D138-1C31-7BF2-87BBF0D5BF8C}"/>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432E4764-1B27-AAE2-5414-AE09D2A2019E}"/>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CB1FBF98-D832-748C-6EEC-B85E831112F5}"/>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D3F3D26E-4A24-255B-E88B-D1CE2857F792}"/>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4B503FDC-0210-F9C1-3D30-110D920CF1D9}"/>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7FC45CF5-45F2-0067-9653-35DAE4B46A0E}"/>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295275</xdr:colOff>
      <xdr:row>4</xdr:row>
      <xdr:rowOff>142876</xdr:rowOff>
    </xdr:from>
    <xdr:to>
      <xdr:col>5</xdr:col>
      <xdr:colOff>257175</xdr:colOff>
      <xdr:row>6</xdr:row>
      <xdr:rowOff>28576</xdr:rowOff>
    </xdr:to>
    <xdr:sp macro="" textlink="">
      <xdr:nvSpPr>
        <xdr:cNvPr id="29" name="TextBox 28">
          <a:extLst>
            <a:ext uri="{FF2B5EF4-FFF2-40B4-BE49-F238E27FC236}">
              <a16:creationId xmlns:a16="http://schemas.microsoft.com/office/drawing/2014/main" id="{C3E37734-7D62-1738-ED90-CFA19A338296}"/>
            </a:ext>
          </a:extLst>
        </xdr:cNvPr>
        <xdr:cNvSpPr txBox="1"/>
      </xdr:nvSpPr>
      <xdr:spPr>
        <a:xfrm>
          <a:off x="1628775" y="942976"/>
          <a:ext cx="1962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TOTAL EMPLOYEES</a:t>
          </a:r>
        </a:p>
        <a:p>
          <a:endParaRPr lang="en-IN" sz="1400"/>
        </a:p>
      </xdr:txBody>
    </xdr:sp>
    <xdr:clientData/>
  </xdr:twoCellAnchor>
  <xdr:twoCellAnchor>
    <xdr:from>
      <xdr:col>2</xdr:col>
      <xdr:colOff>457200</xdr:colOff>
      <xdr:row>6</xdr:row>
      <xdr:rowOff>9525</xdr:rowOff>
    </xdr:from>
    <xdr:to>
      <xdr:col>5</xdr:col>
      <xdr:colOff>371475</xdr:colOff>
      <xdr:row>8</xdr:row>
      <xdr:rowOff>28575</xdr:rowOff>
    </xdr:to>
    <xdr:sp macro="" textlink="KPI!A8">
      <xdr:nvSpPr>
        <xdr:cNvPr id="31" name="TextBox 30">
          <a:extLst>
            <a:ext uri="{FF2B5EF4-FFF2-40B4-BE49-F238E27FC236}">
              <a16:creationId xmlns:a16="http://schemas.microsoft.com/office/drawing/2014/main" id="{2A11B185-8609-4DEA-E89E-39C166BC6D11}"/>
            </a:ext>
          </a:extLst>
        </xdr:cNvPr>
        <xdr:cNvSpPr txBox="1"/>
      </xdr:nvSpPr>
      <xdr:spPr>
        <a:xfrm>
          <a:off x="1790700" y="1209675"/>
          <a:ext cx="19145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E99CEF-0074-482C-8A53-B0BB8EFB13CA}"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1470</a:t>
          </a:fld>
          <a:endParaRPr lang="en-US" sz="2000" b="1">
            <a:latin typeface="Segoe UI" panose="020B0502040204020203" pitchFamily="34" charset="0"/>
            <a:cs typeface="Segoe UI" panose="020B0502040204020203" pitchFamily="34" charset="0"/>
          </a:endParaRPr>
        </a:p>
      </xdr:txBody>
    </xdr:sp>
    <xdr:clientData/>
  </xdr:twoCellAnchor>
  <xdr:twoCellAnchor>
    <xdr:from>
      <xdr:col>6</xdr:col>
      <xdr:colOff>266701</xdr:colOff>
      <xdr:row>4</xdr:row>
      <xdr:rowOff>142876</xdr:rowOff>
    </xdr:from>
    <xdr:to>
      <xdr:col>9</xdr:col>
      <xdr:colOff>228601</xdr:colOff>
      <xdr:row>6</xdr:row>
      <xdr:rowOff>28576</xdr:rowOff>
    </xdr:to>
    <xdr:sp macro="" textlink="">
      <xdr:nvSpPr>
        <xdr:cNvPr id="34" name="TextBox 33">
          <a:extLst>
            <a:ext uri="{FF2B5EF4-FFF2-40B4-BE49-F238E27FC236}">
              <a16:creationId xmlns:a16="http://schemas.microsoft.com/office/drawing/2014/main" id="{E42CC56C-605D-4C05-A248-32F5E803F4C0}"/>
            </a:ext>
          </a:extLst>
        </xdr:cNvPr>
        <xdr:cNvSpPr txBox="1"/>
      </xdr:nvSpPr>
      <xdr:spPr>
        <a:xfrm>
          <a:off x="4267201" y="942976"/>
          <a:ext cx="1962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ATTRITION</a:t>
          </a:r>
        </a:p>
        <a:p>
          <a:endParaRPr lang="en-IN" sz="1400"/>
        </a:p>
      </xdr:txBody>
    </xdr:sp>
    <xdr:clientData/>
  </xdr:twoCellAnchor>
  <xdr:twoCellAnchor>
    <xdr:from>
      <xdr:col>6</xdr:col>
      <xdr:colOff>428626</xdr:colOff>
      <xdr:row>6</xdr:row>
      <xdr:rowOff>9525</xdr:rowOff>
    </xdr:from>
    <xdr:to>
      <xdr:col>9</xdr:col>
      <xdr:colOff>342901</xdr:colOff>
      <xdr:row>8</xdr:row>
      <xdr:rowOff>28575</xdr:rowOff>
    </xdr:to>
    <xdr:sp macro="" textlink="KPI!B8">
      <xdr:nvSpPr>
        <xdr:cNvPr id="35" name="TextBox 34">
          <a:extLst>
            <a:ext uri="{FF2B5EF4-FFF2-40B4-BE49-F238E27FC236}">
              <a16:creationId xmlns:a16="http://schemas.microsoft.com/office/drawing/2014/main" id="{5C2A41AE-B4CB-45B1-81EB-E07D25CEF3B8}"/>
            </a:ext>
          </a:extLst>
        </xdr:cNvPr>
        <xdr:cNvSpPr txBox="1"/>
      </xdr:nvSpPr>
      <xdr:spPr>
        <a:xfrm>
          <a:off x="4429126" y="1209675"/>
          <a:ext cx="19145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D0F3E5-539F-4AAE-9E89-31414EEFC6F7}" type="TxLink">
            <a:rPr lang="en-US" sz="2000" b="1" i="0" u="none" strike="noStrike">
              <a:solidFill>
                <a:srgbClr val="000000"/>
              </a:solidFill>
              <a:latin typeface="Segoe UI" panose="020B0502040204020203" pitchFamily="34" charset="0"/>
              <a:ea typeface="Calibri"/>
              <a:cs typeface="Segoe UI" panose="020B0502040204020203" pitchFamily="34" charset="0"/>
            </a:rPr>
            <a:t>237</a:t>
          </a:fld>
          <a:endParaRPr lang="en-US" sz="2000" b="1">
            <a:latin typeface="Segoe UI" panose="020B0502040204020203" pitchFamily="34" charset="0"/>
            <a:cs typeface="Segoe UI" panose="020B0502040204020203" pitchFamily="34" charset="0"/>
          </a:endParaRPr>
        </a:p>
      </xdr:txBody>
    </xdr:sp>
    <xdr:clientData/>
  </xdr:twoCellAnchor>
  <xdr:twoCellAnchor>
    <xdr:from>
      <xdr:col>10</xdr:col>
      <xdr:colOff>285751</xdr:colOff>
      <xdr:row>4</xdr:row>
      <xdr:rowOff>142876</xdr:rowOff>
    </xdr:from>
    <xdr:to>
      <xdr:col>13</xdr:col>
      <xdr:colOff>247651</xdr:colOff>
      <xdr:row>6</xdr:row>
      <xdr:rowOff>28576</xdr:rowOff>
    </xdr:to>
    <xdr:sp macro="" textlink="">
      <xdr:nvSpPr>
        <xdr:cNvPr id="36" name="TextBox 35">
          <a:extLst>
            <a:ext uri="{FF2B5EF4-FFF2-40B4-BE49-F238E27FC236}">
              <a16:creationId xmlns:a16="http://schemas.microsoft.com/office/drawing/2014/main" id="{F36DA44D-E226-1B0A-1451-D89CE693762D}"/>
            </a:ext>
          </a:extLst>
        </xdr:cNvPr>
        <xdr:cNvSpPr txBox="1"/>
      </xdr:nvSpPr>
      <xdr:spPr>
        <a:xfrm>
          <a:off x="6953251" y="942976"/>
          <a:ext cx="1962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1400" baseline="0">
              <a:latin typeface="Segoe UI Semibold" panose="020B0702040204020203" pitchFamily="34" charset="0"/>
              <a:ea typeface="Segoe UI Black" panose="020B0A02040204020203" pitchFamily="34" charset="0"/>
              <a:cs typeface="Segoe UI Semibold" panose="020B0702040204020203" pitchFamily="34" charset="0"/>
            </a:rPr>
            <a:t> AGE</a:t>
          </a:r>
          <a:endParaRPr lang="en-IN" sz="1400">
            <a:latin typeface="Segoe UI Semibold" panose="020B0702040204020203" pitchFamily="34" charset="0"/>
            <a:ea typeface="Segoe UI Black" panose="020B0A02040204020203" pitchFamily="34" charset="0"/>
            <a:cs typeface="Segoe UI Semibold" panose="020B0702040204020203" pitchFamily="34" charset="0"/>
          </a:endParaRPr>
        </a:p>
        <a:p>
          <a:endParaRPr lang="en-IN" sz="1400"/>
        </a:p>
      </xdr:txBody>
    </xdr:sp>
    <xdr:clientData/>
  </xdr:twoCellAnchor>
  <xdr:twoCellAnchor>
    <xdr:from>
      <xdr:col>10</xdr:col>
      <xdr:colOff>447676</xdr:colOff>
      <xdr:row>6</xdr:row>
      <xdr:rowOff>9525</xdr:rowOff>
    </xdr:from>
    <xdr:to>
      <xdr:col>13</xdr:col>
      <xdr:colOff>361951</xdr:colOff>
      <xdr:row>8</xdr:row>
      <xdr:rowOff>28575</xdr:rowOff>
    </xdr:to>
    <xdr:sp macro="" textlink="KPI!C8">
      <xdr:nvSpPr>
        <xdr:cNvPr id="37" name="TextBox 36">
          <a:extLst>
            <a:ext uri="{FF2B5EF4-FFF2-40B4-BE49-F238E27FC236}">
              <a16:creationId xmlns:a16="http://schemas.microsoft.com/office/drawing/2014/main" id="{D74A655D-B755-26BA-7FEF-F56E538927C4}"/>
            </a:ext>
          </a:extLst>
        </xdr:cNvPr>
        <xdr:cNvSpPr txBox="1"/>
      </xdr:nvSpPr>
      <xdr:spPr>
        <a:xfrm>
          <a:off x="7115176" y="1209675"/>
          <a:ext cx="19145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472700-BCEE-4785-B3F8-68A9702AE302}" type="TxLink">
            <a:rPr lang="en-US" sz="2000" b="1" i="0" u="none" strike="noStrike">
              <a:solidFill>
                <a:srgbClr val="000000"/>
              </a:solidFill>
              <a:latin typeface="Segoe UI" panose="020B0502040204020203" pitchFamily="34" charset="0"/>
              <a:ea typeface="Calibri"/>
              <a:cs typeface="Segoe UI" panose="020B0502040204020203" pitchFamily="34" charset="0"/>
            </a:rPr>
            <a:t>37</a:t>
          </a:fld>
          <a:endParaRPr lang="en-US" sz="2000" b="1">
            <a:latin typeface="Segoe UI" panose="020B0502040204020203" pitchFamily="34" charset="0"/>
            <a:cs typeface="Segoe UI" panose="020B0502040204020203" pitchFamily="34" charset="0"/>
          </a:endParaRPr>
        </a:p>
      </xdr:txBody>
    </xdr:sp>
    <xdr:clientData/>
  </xdr:twoCellAnchor>
  <xdr:twoCellAnchor>
    <xdr:from>
      <xdr:col>14</xdr:col>
      <xdr:colOff>304801</xdr:colOff>
      <xdr:row>4</xdr:row>
      <xdr:rowOff>142876</xdr:rowOff>
    </xdr:from>
    <xdr:to>
      <xdr:col>17</xdr:col>
      <xdr:colOff>266701</xdr:colOff>
      <xdr:row>6</xdr:row>
      <xdr:rowOff>28576</xdr:rowOff>
    </xdr:to>
    <xdr:sp macro="" textlink="">
      <xdr:nvSpPr>
        <xdr:cNvPr id="38" name="TextBox 37">
          <a:extLst>
            <a:ext uri="{FF2B5EF4-FFF2-40B4-BE49-F238E27FC236}">
              <a16:creationId xmlns:a16="http://schemas.microsoft.com/office/drawing/2014/main" id="{21F0A501-F8CC-7A85-F51D-09218C6EAD4B}"/>
            </a:ext>
          </a:extLst>
        </xdr:cNvPr>
        <xdr:cNvSpPr txBox="1"/>
      </xdr:nvSpPr>
      <xdr:spPr>
        <a:xfrm>
          <a:off x="9639301" y="942976"/>
          <a:ext cx="1962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ACTIVE EMPLOYEES</a:t>
          </a:r>
          <a:endParaRPr lang="en-IN" sz="1400"/>
        </a:p>
      </xdr:txBody>
    </xdr:sp>
    <xdr:clientData/>
  </xdr:twoCellAnchor>
  <xdr:twoCellAnchor>
    <xdr:from>
      <xdr:col>14</xdr:col>
      <xdr:colOff>466726</xdr:colOff>
      <xdr:row>6</xdr:row>
      <xdr:rowOff>9525</xdr:rowOff>
    </xdr:from>
    <xdr:to>
      <xdr:col>17</xdr:col>
      <xdr:colOff>381001</xdr:colOff>
      <xdr:row>8</xdr:row>
      <xdr:rowOff>28575</xdr:rowOff>
    </xdr:to>
    <xdr:sp macro="" textlink="KPI!D8">
      <xdr:nvSpPr>
        <xdr:cNvPr id="39" name="TextBox 38">
          <a:extLst>
            <a:ext uri="{FF2B5EF4-FFF2-40B4-BE49-F238E27FC236}">
              <a16:creationId xmlns:a16="http://schemas.microsoft.com/office/drawing/2014/main" id="{B8326091-B61A-B16B-CF60-88EA822BCE4E}"/>
            </a:ext>
          </a:extLst>
        </xdr:cNvPr>
        <xdr:cNvSpPr txBox="1"/>
      </xdr:nvSpPr>
      <xdr:spPr>
        <a:xfrm>
          <a:off x="9801226" y="1209675"/>
          <a:ext cx="19145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9B0CEB-0A59-45F8-B8F1-D927C7A1FD4C}" type="TxLink">
            <a:rPr lang="en-US" sz="2000" b="1" i="0" u="none" strike="noStrike">
              <a:solidFill>
                <a:srgbClr val="000000"/>
              </a:solidFill>
              <a:latin typeface="Segoe UI" panose="020B0502040204020203" pitchFamily="34" charset="0"/>
              <a:ea typeface="Calibri"/>
              <a:cs typeface="Segoe UI" panose="020B0502040204020203" pitchFamily="34" charset="0"/>
            </a:rPr>
            <a:t>1233</a:t>
          </a:fld>
          <a:endParaRPr lang="en-US" sz="2000" b="1">
            <a:latin typeface="Segoe UI" panose="020B0502040204020203" pitchFamily="34" charset="0"/>
            <a:cs typeface="Segoe UI" panose="020B0502040204020203" pitchFamily="34" charset="0"/>
          </a:endParaRPr>
        </a:p>
      </xdr:txBody>
    </xdr:sp>
    <xdr:clientData/>
  </xdr:twoCellAnchor>
  <xdr:twoCellAnchor>
    <xdr:from>
      <xdr:col>18</xdr:col>
      <xdr:colOff>323851</xdr:colOff>
      <xdr:row>4</xdr:row>
      <xdr:rowOff>142876</xdr:rowOff>
    </xdr:from>
    <xdr:to>
      <xdr:col>21</xdr:col>
      <xdr:colOff>285751</xdr:colOff>
      <xdr:row>6</xdr:row>
      <xdr:rowOff>28576</xdr:rowOff>
    </xdr:to>
    <xdr:sp macro="" textlink="">
      <xdr:nvSpPr>
        <xdr:cNvPr id="40" name="TextBox 39">
          <a:extLst>
            <a:ext uri="{FF2B5EF4-FFF2-40B4-BE49-F238E27FC236}">
              <a16:creationId xmlns:a16="http://schemas.microsoft.com/office/drawing/2014/main" id="{1B4BA4CF-B6D2-FED5-C969-A36CD2280FCD}"/>
            </a:ext>
          </a:extLst>
        </xdr:cNvPr>
        <xdr:cNvSpPr txBox="1"/>
      </xdr:nvSpPr>
      <xdr:spPr>
        <a:xfrm>
          <a:off x="12325351" y="942976"/>
          <a:ext cx="1962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ATTRITION RATE</a:t>
          </a:r>
          <a:endParaRPr lang="en-IN" sz="1400"/>
        </a:p>
      </xdr:txBody>
    </xdr:sp>
    <xdr:clientData/>
  </xdr:twoCellAnchor>
  <xdr:twoCellAnchor>
    <xdr:from>
      <xdr:col>18</xdr:col>
      <xdr:colOff>485776</xdr:colOff>
      <xdr:row>6</xdr:row>
      <xdr:rowOff>9525</xdr:rowOff>
    </xdr:from>
    <xdr:to>
      <xdr:col>21</xdr:col>
      <xdr:colOff>400051</xdr:colOff>
      <xdr:row>8</xdr:row>
      <xdr:rowOff>28575</xdr:rowOff>
    </xdr:to>
    <xdr:sp macro="" textlink="KPI!E8">
      <xdr:nvSpPr>
        <xdr:cNvPr id="41" name="TextBox 40">
          <a:extLst>
            <a:ext uri="{FF2B5EF4-FFF2-40B4-BE49-F238E27FC236}">
              <a16:creationId xmlns:a16="http://schemas.microsoft.com/office/drawing/2014/main" id="{EAD2701B-8229-AAE3-0433-A6553C1313FD}"/>
            </a:ext>
          </a:extLst>
        </xdr:cNvPr>
        <xdr:cNvSpPr txBox="1"/>
      </xdr:nvSpPr>
      <xdr:spPr>
        <a:xfrm>
          <a:off x="12487276" y="1209675"/>
          <a:ext cx="19145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761FF1-695A-4EE8-B4DD-90DC7279D752}" type="TxLink">
            <a:rPr lang="en-US" sz="2000" b="1" i="0" u="none" strike="noStrike">
              <a:solidFill>
                <a:srgbClr val="000000"/>
              </a:solidFill>
              <a:latin typeface="Segoe UI" panose="020B0502040204020203" pitchFamily="34" charset="0"/>
              <a:ea typeface="Calibri"/>
              <a:cs typeface="Segoe UI" panose="020B0502040204020203" pitchFamily="34" charset="0"/>
            </a:rPr>
            <a:t>16.12%</a:t>
          </a:fld>
          <a:endParaRPr lang="en-US" sz="2000" b="1">
            <a:latin typeface="Segoe UI" panose="020B0502040204020203" pitchFamily="34" charset="0"/>
            <a:cs typeface="Segoe UI" panose="020B0502040204020203" pitchFamily="34" charset="0"/>
          </a:endParaRPr>
        </a:p>
      </xdr:txBody>
    </xdr:sp>
    <xdr:clientData/>
  </xdr:twoCellAnchor>
  <xdr:twoCellAnchor editAs="oneCell">
    <xdr:from>
      <xdr:col>9</xdr:col>
      <xdr:colOff>190501</xdr:colOff>
      <xdr:row>4</xdr:row>
      <xdr:rowOff>138931</xdr:rowOff>
    </xdr:from>
    <xdr:to>
      <xdr:col>10</xdr:col>
      <xdr:colOff>28575</xdr:colOff>
      <xdr:row>6</xdr:row>
      <xdr:rowOff>180975</xdr:rowOff>
    </xdr:to>
    <xdr:pic>
      <xdr:nvPicPr>
        <xdr:cNvPr id="50" name="Picture 49">
          <a:extLst>
            <a:ext uri="{FF2B5EF4-FFF2-40B4-BE49-F238E27FC236}">
              <a16:creationId xmlns:a16="http://schemas.microsoft.com/office/drawing/2014/main" id="{C13EEFED-0745-CB11-705F-D815E9499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1" y="939031"/>
          <a:ext cx="504824" cy="442094"/>
        </a:xfrm>
        <a:prstGeom prst="rect">
          <a:avLst/>
        </a:prstGeom>
      </xdr:spPr>
    </xdr:pic>
    <xdr:clientData/>
  </xdr:twoCellAnchor>
  <xdr:twoCellAnchor editAs="oneCell">
    <xdr:from>
      <xdr:col>5</xdr:col>
      <xdr:colOff>323850</xdr:colOff>
      <xdr:row>4</xdr:row>
      <xdr:rowOff>161925</xdr:rowOff>
    </xdr:from>
    <xdr:to>
      <xdr:col>6</xdr:col>
      <xdr:colOff>20515</xdr:colOff>
      <xdr:row>6</xdr:row>
      <xdr:rowOff>57150</xdr:rowOff>
    </xdr:to>
    <xdr:pic>
      <xdr:nvPicPr>
        <xdr:cNvPr id="52" name="Picture 51">
          <a:extLst>
            <a:ext uri="{FF2B5EF4-FFF2-40B4-BE49-F238E27FC236}">
              <a16:creationId xmlns:a16="http://schemas.microsoft.com/office/drawing/2014/main" id="{6EB5C86E-E3FE-82B0-454C-D6982AC094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57600" y="962025"/>
          <a:ext cx="363415" cy="295275"/>
        </a:xfrm>
        <a:prstGeom prst="rect">
          <a:avLst/>
        </a:prstGeom>
      </xdr:spPr>
    </xdr:pic>
    <xdr:clientData/>
  </xdr:twoCellAnchor>
  <xdr:twoCellAnchor editAs="oneCell">
    <xdr:from>
      <xdr:col>13</xdr:col>
      <xdr:colOff>190499</xdr:colOff>
      <xdr:row>4</xdr:row>
      <xdr:rowOff>114300</xdr:rowOff>
    </xdr:from>
    <xdr:to>
      <xdr:col>14</xdr:col>
      <xdr:colOff>45554</xdr:colOff>
      <xdr:row>6</xdr:row>
      <xdr:rowOff>114300</xdr:rowOff>
    </xdr:to>
    <xdr:pic>
      <xdr:nvPicPr>
        <xdr:cNvPr id="54" name="Picture 53">
          <a:extLst>
            <a:ext uri="{FF2B5EF4-FFF2-40B4-BE49-F238E27FC236}">
              <a16:creationId xmlns:a16="http://schemas.microsoft.com/office/drawing/2014/main" id="{59A96FEB-B3BA-35EA-2A71-BF74DE6F5562}"/>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6945" t="13281" r="9722" b="18837"/>
        <a:stretch/>
      </xdr:blipFill>
      <xdr:spPr>
        <a:xfrm>
          <a:off x="8858249" y="914400"/>
          <a:ext cx="521805" cy="400050"/>
        </a:xfrm>
        <a:prstGeom prst="rect">
          <a:avLst/>
        </a:prstGeom>
      </xdr:spPr>
    </xdr:pic>
    <xdr:clientData/>
  </xdr:twoCellAnchor>
  <xdr:twoCellAnchor editAs="oneCell">
    <xdr:from>
      <xdr:col>17</xdr:col>
      <xdr:colOff>276225</xdr:colOff>
      <xdr:row>4</xdr:row>
      <xdr:rowOff>133350</xdr:rowOff>
    </xdr:from>
    <xdr:to>
      <xdr:col>17</xdr:col>
      <xdr:colOff>628650</xdr:colOff>
      <xdr:row>6</xdr:row>
      <xdr:rowOff>76200</xdr:rowOff>
    </xdr:to>
    <xdr:pic>
      <xdr:nvPicPr>
        <xdr:cNvPr id="56" name="Picture 55">
          <a:extLst>
            <a:ext uri="{FF2B5EF4-FFF2-40B4-BE49-F238E27FC236}">
              <a16:creationId xmlns:a16="http://schemas.microsoft.com/office/drawing/2014/main" id="{2F29E665-9CAB-DF86-DF97-6A169FE58147}"/>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1777" t="13333" r="18223" b="12000"/>
        <a:stretch/>
      </xdr:blipFill>
      <xdr:spPr>
        <a:xfrm>
          <a:off x="11610975" y="933450"/>
          <a:ext cx="352425" cy="342900"/>
        </a:xfrm>
        <a:prstGeom prst="rect">
          <a:avLst/>
        </a:prstGeom>
      </xdr:spPr>
    </xdr:pic>
    <xdr:clientData/>
  </xdr:twoCellAnchor>
  <xdr:twoCellAnchor editAs="oneCell">
    <xdr:from>
      <xdr:col>21</xdr:col>
      <xdr:colOff>190500</xdr:colOff>
      <xdr:row>5</xdr:row>
      <xdr:rowOff>0</xdr:rowOff>
    </xdr:from>
    <xdr:to>
      <xdr:col>21</xdr:col>
      <xdr:colOff>581025</xdr:colOff>
      <xdr:row>6</xdr:row>
      <xdr:rowOff>114300</xdr:rowOff>
    </xdr:to>
    <xdr:pic>
      <xdr:nvPicPr>
        <xdr:cNvPr id="58" name="Picture 57">
          <a:extLst>
            <a:ext uri="{FF2B5EF4-FFF2-40B4-BE49-F238E27FC236}">
              <a16:creationId xmlns:a16="http://schemas.microsoft.com/office/drawing/2014/main" id="{C6D2F4D4-FCC5-2A3E-DF1F-F159479EC73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192250" y="1000125"/>
          <a:ext cx="390525" cy="314325"/>
        </a:xfrm>
        <a:prstGeom prst="rect">
          <a:avLst/>
        </a:prstGeom>
      </xdr:spPr>
    </xdr:pic>
    <xdr:clientData/>
  </xdr:twoCellAnchor>
  <xdr:twoCellAnchor>
    <xdr:from>
      <xdr:col>2</xdr:col>
      <xdr:colOff>295275</xdr:colOff>
      <xdr:row>0</xdr:row>
      <xdr:rowOff>114301</xdr:rowOff>
    </xdr:from>
    <xdr:to>
      <xdr:col>13</xdr:col>
      <xdr:colOff>323850</xdr:colOff>
      <xdr:row>3</xdr:row>
      <xdr:rowOff>28576</xdr:rowOff>
    </xdr:to>
    <xdr:sp macro="" textlink="">
      <xdr:nvSpPr>
        <xdr:cNvPr id="59" name="TextBox 58">
          <a:extLst>
            <a:ext uri="{FF2B5EF4-FFF2-40B4-BE49-F238E27FC236}">
              <a16:creationId xmlns:a16="http://schemas.microsoft.com/office/drawing/2014/main" id="{580B0FF9-387C-1F57-CE0B-52C511342EDC}"/>
            </a:ext>
          </a:extLst>
        </xdr:cNvPr>
        <xdr:cNvSpPr txBox="1"/>
      </xdr:nvSpPr>
      <xdr:spPr>
        <a:xfrm>
          <a:off x="1628775" y="114301"/>
          <a:ext cx="73628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t>HR ANALYTICAL</a:t>
          </a:r>
          <a:r>
            <a:rPr lang="en-IN" sz="3600" b="1" baseline="0"/>
            <a:t> DASHBOARD</a:t>
          </a:r>
          <a:endParaRPr lang="en-IN" sz="3600" b="1"/>
        </a:p>
      </xdr:txBody>
    </xdr:sp>
    <xdr:clientData/>
  </xdr:twoCellAnchor>
  <xdr:twoCellAnchor editAs="oneCell">
    <xdr:from>
      <xdr:col>13</xdr:col>
      <xdr:colOff>655205</xdr:colOff>
      <xdr:row>1</xdr:row>
      <xdr:rowOff>28575</xdr:rowOff>
    </xdr:from>
    <xdr:to>
      <xdr:col>14</xdr:col>
      <xdr:colOff>547833</xdr:colOff>
      <xdr:row>3</xdr:row>
      <xdr:rowOff>114300</xdr:rowOff>
    </xdr:to>
    <xdr:pic>
      <xdr:nvPicPr>
        <xdr:cNvPr id="62" name="Picture 61">
          <a:extLst>
            <a:ext uri="{FF2B5EF4-FFF2-40B4-BE49-F238E27FC236}">
              <a16:creationId xmlns:a16="http://schemas.microsoft.com/office/drawing/2014/main" id="{EF594C0D-2A23-840F-785E-21E538B79A2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322955" y="228600"/>
          <a:ext cx="559378" cy="485775"/>
        </a:xfrm>
        <a:prstGeom prst="rect">
          <a:avLst/>
        </a:prstGeom>
      </xdr:spPr>
    </xdr:pic>
    <xdr:clientData/>
  </xdr:twoCellAnchor>
  <xdr:twoCellAnchor>
    <xdr:from>
      <xdr:col>18</xdr:col>
      <xdr:colOff>400051</xdr:colOff>
      <xdr:row>0</xdr:row>
      <xdr:rowOff>152400</xdr:rowOff>
    </xdr:from>
    <xdr:to>
      <xdr:col>21</xdr:col>
      <xdr:colOff>47625</xdr:colOff>
      <xdr:row>3</xdr:row>
      <xdr:rowOff>180975</xdr:rowOff>
    </xdr:to>
    <xdr:graphicFrame macro="">
      <xdr:nvGraphicFramePr>
        <xdr:cNvPr id="67" name="Chart 66">
          <a:extLst>
            <a:ext uri="{FF2B5EF4-FFF2-40B4-BE49-F238E27FC236}">
              <a16:creationId xmlns:a16="http://schemas.microsoft.com/office/drawing/2014/main" id="{B386E531-F693-4397-9FF1-FC7BF68B7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523874</xdr:colOff>
      <xdr:row>0</xdr:row>
      <xdr:rowOff>180974</xdr:rowOff>
    </xdr:from>
    <xdr:to>
      <xdr:col>17</xdr:col>
      <xdr:colOff>514349</xdr:colOff>
      <xdr:row>3</xdr:row>
      <xdr:rowOff>180975</xdr:rowOff>
    </xdr:to>
    <xdr:sp macro="" textlink="">
      <xdr:nvSpPr>
        <xdr:cNvPr id="63" name="TextBox 62">
          <a:extLst>
            <a:ext uri="{FF2B5EF4-FFF2-40B4-BE49-F238E27FC236}">
              <a16:creationId xmlns:a16="http://schemas.microsoft.com/office/drawing/2014/main" id="{76745CB4-39FE-451E-AF8A-A252CCB7F4A2}"/>
            </a:ext>
          </a:extLst>
        </xdr:cNvPr>
        <xdr:cNvSpPr txBox="1"/>
      </xdr:nvSpPr>
      <xdr:spPr>
        <a:xfrm>
          <a:off x="9858374" y="180974"/>
          <a:ext cx="1990725"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Segoe UI Semibold" panose="020B0702040204020203" pitchFamily="34" charset="0"/>
              <a:ea typeface="Segoe UI Black" panose="020B0A02040204020203" pitchFamily="34" charset="0"/>
              <a:cs typeface="Segoe UI Semibold" panose="020B0702040204020203" pitchFamily="34" charset="0"/>
            </a:rPr>
            <a:t>JOB</a:t>
          </a:r>
          <a:r>
            <a:rPr lang="en-IN" sz="1400" baseline="0">
              <a:latin typeface="Segoe UI Semibold" panose="020B0702040204020203" pitchFamily="34" charset="0"/>
              <a:ea typeface="Segoe UI Black" panose="020B0A02040204020203" pitchFamily="34" charset="0"/>
              <a:cs typeface="Segoe UI Semibold" panose="020B0702040204020203" pitchFamily="34" charset="0"/>
            </a:rPr>
            <a:t> SATISFACTION RATE</a:t>
          </a:r>
          <a:endParaRPr lang="en-IN" sz="1400">
            <a:latin typeface="Segoe UI Semibold" panose="020B0702040204020203" pitchFamily="34" charset="0"/>
            <a:ea typeface="Segoe UI Black" panose="020B0A02040204020203" pitchFamily="34" charset="0"/>
            <a:cs typeface="Segoe UI Semibold" panose="020B0702040204020203" pitchFamily="34" charset="0"/>
          </a:endParaRPr>
        </a:p>
        <a:p>
          <a:endParaRPr lang="en-IN" sz="1400"/>
        </a:p>
      </xdr:txBody>
    </xdr:sp>
    <xdr:clientData/>
  </xdr:twoCellAnchor>
  <xdr:twoCellAnchor>
    <xdr:from>
      <xdr:col>17</xdr:col>
      <xdr:colOff>238125</xdr:colOff>
      <xdr:row>0</xdr:row>
      <xdr:rowOff>95251</xdr:rowOff>
    </xdr:from>
    <xdr:to>
      <xdr:col>19</xdr:col>
      <xdr:colOff>66675</xdr:colOff>
      <xdr:row>4</xdr:row>
      <xdr:rowOff>76201</xdr:rowOff>
    </xdr:to>
    <xdr:graphicFrame macro="">
      <xdr:nvGraphicFramePr>
        <xdr:cNvPr id="64" name="Chart 63">
          <a:extLst>
            <a:ext uri="{FF2B5EF4-FFF2-40B4-BE49-F238E27FC236}">
              <a16:creationId xmlns:a16="http://schemas.microsoft.com/office/drawing/2014/main" id="{CBAB95A4-3A83-40E8-8828-F63032115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581025</xdr:colOff>
      <xdr:row>1</xdr:row>
      <xdr:rowOff>142874</xdr:rowOff>
    </xdr:from>
    <xdr:to>
      <xdr:col>18</xdr:col>
      <xdr:colOff>352426</xdr:colOff>
      <xdr:row>3</xdr:row>
      <xdr:rowOff>19049</xdr:rowOff>
    </xdr:to>
    <xdr:sp macro="" textlink="Rating!B6">
      <xdr:nvSpPr>
        <xdr:cNvPr id="65" name="TextBox 64">
          <a:extLst>
            <a:ext uri="{FF2B5EF4-FFF2-40B4-BE49-F238E27FC236}">
              <a16:creationId xmlns:a16="http://schemas.microsoft.com/office/drawing/2014/main" id="{2A0FA4AF-C423-4936-10CA-FF04B9E13110}"/>
            </a:ext>
          </a:extLst>
        </xdr:cNvPr>
        <xdr:cNvSpPr txBox="1"/>
      </xdr:nvSpPr>
      <xdr:spPr>
        <a:xfrm>
          <a:off x="11915775" y="342899"/>
          <a:ext cx="43815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96BFB5-0CB0-4D6D-BA86-28C0E073CC4F}" type="TxLink">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algn="ctr"/>
            <a:t>2.6</a:t>
          </a:fld>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542924</xdr:colOff>
      <xdr:row>1</xdr:row>
      <xdr:rowOff>95250</xdr:rowOff>
    </xdr:from>
    <xdr:to>
      <xdr:col>20</xdr:col>
      <xdr:colOff>619125</xdr:colOff>
      <xdr:row>3</xdr:row>
      <xdr:rowOff>76200</xdr:rowOff>
    </xdr:to>
    <xdr:sp macro="" textlink="">
      <xdr:nvSpPr>
        <xdr:cNvPr id="66" name="Freeform: Shape 65">
          <a:extLst>
            <a:ext uri="{FF2B5EF4-FFF2-40B4-BE49-F238E27FC236}">
              <a16:creationId xmlns:a16="http://schemas.microsoft.com/office/drawing/2014/main" id="{B28E5216-79D7-652B-4502-B869E504475D}"/>
            </a:ext>
          </a:extLst>
        </xdr:cNvPr>
        <xdr:cNvSpPr/>
      </xdr:nvSpPr>
      <xdr:spPr>
        <a:xfrm>
          <a:off x="12544424" y="295275"/>
          <a:ext cx="1409701" cy="381000"/>
        </a:xfrm>
        <a:custGeom>
          <a:avLst/>
          <a:gdLst>
            <a:gd name="connsiteX0" fmla="*/ 1057835 w 1201270"/>
            <a:gd name="connsiteY0" fmla="*/ 0 h 381000"/>
            <a:gd name="connsiteX1" fmla="*/ 1201270 w 1201270"/>
            <a:gd name="connsiteY1" fmla="*/ 0 h 381000"/>
            <a:gd name="connsiteX2" fmla="*/ 1201270 w 1201270"/>
            <a:gd name="connsiteY2" fmla="*/ 119847 h 381000"/>
            <a:gd name="connsiteX3" fmla="*/ 1091694 w 1201270"/>
            <a:gd name="connsiteY3" fmla="*/ 119848 h 381000"/>
            <a:gd name="connsiteX4" fmla="*/ 143436 w 1201270"/>
            <a:gd name="connsiteY4" fmla="*/ 0 h 381000"/>
            <a:gd name="connsiteX5" fmla="*/ 448236 w 1201270"/>
            <a:gd name="connsiteY5" fmla="*/ 0 h 381000"/>
            <a:gd name="connsiteX6" fmla="*/ 414376 w 1201270"/>
            <a:gd name="connsiteY6" fmla="*/ 119848 h 381000"/>
            <a:gd name="connsiteX7" fmla="*/ 304800 w 1201270"/>
            <a:gd name="connsiteY7" fmla="*/ 119847 h 381000"/>
            <a:gd name="connsiteX8" fmla="*/ 393449 w 1201270"/>
            <a:gd name="connsiteY8" fmla="*/ 193916 h 381000"/>
            <a:gd name="connsiteX9" fmla="*/ 359588 w 1201270"/>
            <a:gd name="connsiteY9" fmla="*/ 313763 h 381000"/>
            <a:gd name="connsiteX10" fmla="*/ 448236 w 1201270"/>
            <a:gd name="connsiteY10" fmla="*/ 239693 h 381000"/>
            <a:gd name="connsiteX11" fmla="*/ 536883 w 1201270"/>
            <a:gd name="connsiteY11" fmla="*/ 313763 h 381000"/>
            <a:gd name="connsiteX12" fmla="*/ 503022 w 1201270"/>
            <a:gd name="connsiteY12" fmla="*/ 193916 h 381000"/>
            <a:gd name="connsiteX13" fmla="*/ 591671 w 1201270"/>
            <a:gd name="connsiteY13" fmla="*/ 119847 h 381000"/>
            <a:gd name="connsiteX14" fmla="*/ 482095 w 1201270"/>
            <a:gd name="connsiteY14" fmla="*/ 119848 h 381000"/>
            <a:gd name="connsiteX15" fmla="*/ 448236 w 1201270"/>
            <a:gd name="connsiteY15" fmla="*/ 0 h 381000"/>
            <a:gd name="connsiteX16" fmla="*/ 753036 w 1201270"/>
            <a:gd name="connsiteY16" fmla="*/ 0 h 381000"/>
            <a:gd name="connsiteX17" fmla="*/ 719176 w 1201270"/>
            <a:gd name="connsiteY17" fmla="*/ 119848 h 381000"/>
            <a:gd name="connsiteX18" fmla="*/ 609600 w 1201270"/>
            <a:gd name="connsiteY18" fmla="*/ 119847 h 381000"/>
            <a:gd name="connsiteX19" fmla="*/ 698249 w 1201270"/>
            <a:gd name="connsiteY19" fmla="*/ 193916 h 381000"/>
            <a:gd name="connsiteX20" fmla="*/ 664388 w 1201270"/>
            <a:gd name="connsiteY20" fmla="*/ 313763 h 381000"/>
            <a:gd name="connsiteX21" fmla="*/ 753036 w 1201270"/>
            <a:gd name="connsiteY21" fmla="*/ 239693 h 381000"/>
            <a:gd name="connsiteX22" fmla="*/ 841683 w 1201270"/>
            <a:gd name="connsiteY22" fmla="*/ 313763 h 381000"/>
            <a:gd name="connsiteX23" fmla="*/ 807822 w 1201270"/>
            <a:gd name="connsiteY23" fmla="*/ 193916 h 381000"/>
            <a:gd name="connsiteX24" fmla="*/ 896471 w 1201270"/>
            <a:gd name="connsiteY24" fmla="*/ 119847 h 381000"/>
            <a:gd name="connsiteX25" fmla="*/ 786895 w 1201270"/>
            <a:gd name="connsiteY25" fmla="*/ 119848 h 381000"/>
            <a:gd name="connsiteX26" fmla="*/ 753036 w 1201270"/>
            <a:gd name="connsiteY26" fmla="*/ 0 h 381000"/>
            <a:gd name="connsiteX27" fmla="*/ 1057835 w 1201270"/>
            <a:gd name="connsiteY27" fmla="*/ 0 h 381000"/>
            <a:gd name="connsiteX28" fmla="*/ 1023975 w 1201270"/>
            <a:gd name="connsiteY28" fmla="*/ 119848 h 381000"/>
            <a:gd name="connsiteX29" fmla="*/ 914399 w 1201270"/>
            <a:gd name="connsiteY29" fmla="*/ 119847 h 381000"/>
            <a:gd name="connsiteX30" fmla="*/ 1003048 w 1201270"/>
            <a:gd name="connsiteY30" fmla="*/ 193916 h 381000"/>
            <a:gd name="connsiteX31" fmla="*/ 969187 w 1201270"/>
            <a:gd name="connsiteY31" fmla="*/ 313763 h 381000"/>
            <a:gd name="connsiteX32" fmla="*/ 1057835 w 1201270"/>
            <a:gd name="connsiteY32" fmla="*/ 239693 h 381000"/>
            <a:gd name="connsiteX33" fmla="*/ 1146482 w 1201270"/>
            <a:gd name="connsiteY33" fmla="*/ 313763 h 381000"/>
            <a:gd name="connsiteX34" fmla="*/ 1112621 w 1201270"/>
            <a:gd name="connsiteY34" fmla="*/ 193916 h 381000"/>
            <a:gd name="connsiteX35" fmla="*/ 1201270 w 1201270"/>
            <a:gd name="connsiteY35" fmla="*/ 119847 h 381000"/>
            <a:gd name="connsiteX36" fmla="*/ 1201270 w 1201270"/>
            <a:gd name="connsiteY36" fmla="*/ 381000 h 381000"/>
            <a:gd name="connsiteX37" fmla="*/ 0 w 1201270"/>
            <a:gd name="connsiteY37" fmla="*/ 381000 h 381000"/>
            <a:gd name="connsiteX38" fmla="*/ 0 w 1201270"/>
            <a:gd name="connsiteY38" fmla="*/ 119847 h 381000"/>
            <a:gd name="connsiteX39" fmla="*/ 88649 w 1201270"/>
            <a:gd name="connsiteY39" fmla="*/ 193916 h 381000"/>
            <a:gd name="connsiteX40" fmla="*/ 54788 w 1201270"/>
            <a:gd name="connsiteY40" fmla="*/ 313763 h 381000"/>
            <a:gd name="connsiteX41" fmla="*/ 143436 w 1201270"/>
            <a:gd name="connsiteY41" fmla="*/ 239693 h 381000"/>
            <a:gd name="connsiteX42" fmla="*/ 232083 w 1201270"/>
            <a:gd name="connsiteY42" fmla="*/ 313763 h 381000"/>
            <a:gd name="connsiteX43" fmla="*/ 198222 w 1201270"/>
            <a:gd name="connsiteY43" fmla="*/ 193916 h 381000"/>
            <a:gd name="connsiteX44" fmla="*/ 286871 w 1201270"/>
            <a:gd name="connsiteY44" fmla="*/ 119847 h 381000"/>
            <a:gd name="connsiteX45" fmla="*/ 177295 w 1201270"/>
            <a:gd name="connsiteY45" fmla="*/ 119848 h 381000"/>
            <a:gd name="connsiteX46" fmla="*/ 0 w 1201270"/>
            <a:gd name="connsiteY46" fmla="*/ 0 h 381000"/>
            <a:gd name="connsiteX47" fmla="*/ 143436 w 1201270"/>
            <a:gd name="connsiteY47" fmla="*/ 0 h 381000"/>
            <a:gd name="connsiteX48" fmla="*/ 109576 w 1201270"/>
            <a:gd name="connsiteY48" fmla="*/ 119848 h 381000"/>
            <a:gd name="connsiteX49" fmla="*/ 0 w 1201270"/>
            <a:gd name="connsiteY49" fmla="*/ 119847 h 381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Lst>
          <a:rect l="l" t="t" r="r" b="b"/>
          <a:pathLst>
            <a:path w="1201270" h="381000">
              <a:moveTo>
                <a:pt x="1057835" y="0"/>
              </a:moveTo>
              <a:lnTo>
                <a:pt x="1201270" y="0"/>
              </a:lnTo>
              <a:lnTo>
                <a:pt x="1201270" y="119847"/>
              </a:lnTo>
              <a:lnTo>
                <a:pt x="1091694" y="119848"/>
              </a:lnTo>
              <a:close/>
              <a:moveTo>
                <a:pt x="143436" y="0"/>
              </a:moveTo>
              <a:lnTo>
                <a:pt x="448236" y="0"/>
              </a:lnTo>
              <a:lnTo>
                <a:pt x="414376" y="119848"/>
              </a:lnTo>
              <a:lnTo>
                <a:pt x="304800" y="119847"/>
              </a:lnTo>
              <a:lnTo>
                <a:pt x="393449" y="193916"/>
              </a:lnTo>
              <a:lnTo>
                <a:pt x="359588" y="313763"/>
              </a:lnTo>
              <a:lnTo>
                <a:pt x="448236" y="239693"/>
              </a:lnTo>
              <a:lnTo>
                <a:pt x="536883" y="313763"/>
              </a:lnTo>
              <a:lnTo>
                <a:pt x="503022" y="193916"/>
              </a:lnTo>
              <a:lnTo>
                <a:pt x="591671" y="119847"/>
              </a:lnTo>
              <a:lnTo>
                <a:pt x="482095" y="119848"/>
              </a:lnTo>
              <a:lnTo>
                <a:pt x="448236" y="0"/>
              </a:lnTo>
              <a:lnTo>
                <a:pt x="753036" y="0"/>
              </a:lnTo>
              <a:lnTo>
                <a:pt x="719176" y="119848"/>
              </a:lnTo>
              <a:lnTo>
                <a:pt x="609600" y="119847"/>
              </a:lnTo>
              <a:lnTo>
                <a:pt x="698249" y="193916"/>
              </a:lnTo>
              <a:lnTo>
                <a:pt x="664388" y="313763"/>
              </a:lnTo>
              <a:lnTo>
                <a:pt x="753036" y="239693"/>
              </a:lnTo>
              <a:lnTo>
                <a:pt x="841683" y="313763"/>
              </a:lnTo>
              <a:lnTo>
                <a:pt x="807822" y="193916"/>
              </a:lnTo>
              <a:lnTo>
                <a:pt x="896471" y="119847"/>
              </a:lnTo>
              <a:lnTo>
                <a:pt x="786895" y="119848"/>
              </a:lnTo>
              <a:lnTo>
                <a:pt x="753036" y="0"/>
              </a:lnTo>
              <a:lnTo>
                <a:pt x="1057835" y="0"/>
              </a:lnTo>
              <a:lnTo>
                <a:pt x="1023975" y="119848"/>
              </a:lnTo>
              <a:lnTo>
                <a:pt x="914399" y="119847"/>
              </a:lnTo>
              <a:lnTo>
                <a:pt x="1003048" y="193916"/>
              </a:lnTo>
              <a:lnTo>
                <a:pt x="969187" y="313763"/>
              </a:lnTo>
              <a:lnTo>
                <a:pt x="1057835" y="239693"/>
              </a:lnTo>
              <a:lnTo>
                <a:pt x="1146482" y="313763"/>
              </a:lnTo>
              <a:lnTo>
                <a:pt x="1112621" y="193916"/>
              </a:lnTo>
              <a:lnTo>
                <a:pt x="1201270" y="119847"/>
              </a:lnTo>
              <a:lnTo>
                <a:pt x="1201270" y="381000"/>
              </a:lnTo>
              <a:lnTo>
                <a:pt x="0" y="381000"/>
              </a:lnTo>
              <a:lnTo>
                <a:pt x="0" y="119847"/>
              </a:lnTo>
              <a:lnTo>
                <a:pt x="88649" y="193916"/>
              </a:lnTo>
              <a:lnTo>
                <a:pt x="54788" y="313763"/>
              </a:lnTo>
              <a:lnTo>
                <a:pt x="143436" y="239693"/>
              </a:lnTo>
              <a:lnTo>
                <a:pt x="232083" y="313763"/>
              </a:lnTo>
              <a:lnTo>
                <a:pt x="198222" y="193916"/>
              </a:lnTo>
              <a:lnTo>
                <a:pt x="286871" y="119847"/>
              </a:lnTo>
              <a:lnTo>
                <a:pt x="177295" y="119848"/>
              </a:lnTo>
              <a:close/>
              <a:moveTo>
                <a:pt x="0" y="0"/>
              </a:moveTo>
              <a:lnTo>
                <a:pt x="143436" y="0"/>
              </a:lnTo>
              <a:lnTo>
                <a:pt x="109576" y="119848"/>
              </a:lnTo>
              <a:lnTo>
                <a:pt x="0" y="119847"/>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 </a:t>
          </a:r>
        </a:p>
      </xdr:txBody>
    </xdr:sp>
    <xdr:clientData/>
  </xdr:twoCellAnchor>
  <xdr:twoCellAnchor>
    <xdr:from>
      <xdr:col>2</xdr:col>
      <xdr:colOff>228600</xdr:colOff>
      <xdr:row>13</xdr:row>
      <xdr:rowOff>38100</xdr:rowOff>
    </xdr:from>
    <xdr:to>
      <xdr:col>8</xdr:col>
      <xdr:colOff>39825</xdr:colOff>
      <xdr:row>19</xdr:row>
      <xdr:rowOff>144600</xdr:rowOff>
    </xdr:to>
    <xdr:grpSp>
      <xdr:nvGrpSpPr>
        <xdr:cNvPr id="79" name="Group 78">
          <a:extLst>
            <a:ext uri="{FF2B5EF4-FFF2-40B4-BE49-F238E27FC236}">
              <a16:creationId xmlns:a16="http://schemas.microsoft.com/office/drawing/2014/main" id="{0184290D-93D0-1B6D-1AD3-88CFFD7C7E99}"/>
            </a:ext>
          </a:extLst>
        </xdr:cNvPr>
        <xdr:cNvGrpSpPr/>
      </xdr:nvGrpSpPr>
      <xdr:grpSpPr>
        <a:xfrm>
          <a:off x="1562100" y="2638425"/>
          <a:ext cx="3811725" cy="1306650"/>
          <a:chOff x="1562100" y="2505075"/>
          <a:chExt cx="3811725" cy="1440000"/>
        </a:xfrm>
      </xdr:grpSpPr>
      <xdr:graphicFrame macro="">
        <xdr:nvGraphicFramePr>
          <xdr:cNvPr id="70" name="Chart 69">
            <a:extLst>
              <a:ext uri="{FF2B5EF4-FFF2-40B4-BE49-F238E27FC236}">
                <a16:creationId xmlns:a16="http://schemas.microsoft.com/office/drawing/2014/main" id="{F16F5DC9-81BE-4FD5-BB68-C20800165883}"/>
              </a:ext>
            </a:extLst>
          </xdr:cNvPr>
          <xdr:cNvGraphicFramePr>
            <a:graphicFrameLocks/>
          </xdr:cNvGraphicFramePr>
        </xdr:nvGraphicFramePr>
        <xdr:xfrm>
          <a:off x="1562100" y="2505075"/>
          <a:ext cx="1440000" cy="1440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71" name="Chart 70">
            <a:extLst>
              <a:ext uri="{FF2B5EF4-FFF2-40B4-BE49-F238E27FC236}">
                <a16:creationId xmlns:a16="http://schemas.microsoft.com/office/drawing/2014/main" id="{AB1C4871-AF7E-443D-A518-FC032B02DEF3}"/>
              </a:ext>
            </a:extLst>
          </xdr:cNvPr>
          <xdr:cNvGraphicFramePr>
            <a:graphicFrameLocks/>
          </xdr:cNvGraphicFramePr>
        </xdr:nvGraphicFramePr>
        <xdr:xfrm>
          <a:off x="3933825" y="2505075"/>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73" name="Graphic 72" descr="Male profile with solid fill">
            <a:extLst>
              <a:ext uri="{FF2B5EF4-FFF2-40B4-BE49-F238E27FC236}">
                <a16:creationId xmlns:a16="http://schemas.microsoft.com/office/drawing/2014/main" id="{84F3564A-20E4-0384-6934-48442C05DA3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457573" y="2999174"/>
            <a:ext cx="720000" cy="720000"/>
          </a:xfrm>
          <a:prstGeom prst="rect">
            <a:avLst/>
          </a:prstGeom>
        </xdr:spPr>
      </xdr:pic>
      <xdr:pic>
        <xdr:nvPicPr>
          <xdr:cNvPr id="75" name="Graphic 74" descr="Female Profile with solid fill">
            <a:extLst>
              <a:ext uri="{FF2B5EF4-FFF2-40B4-BE49-F238E27FC236}">
                <a16:creationId xmlns:a16="http://schemas.microsoft.com/office/drawing/2014/main" id="{46FF7A3F-50DF-23F3-DF25-063AF42837A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826525" y="2999174"/>
            <a:ext cx="720000" cy="720000"/>
          </a:xfrm>
          <a:prstGeom prst="rect">
            <a:avLst/>
          </a:prstGeom>
        </xdr:spPr>
      </xdr:pic>
      <xdr:sp macro="" textlink="Gender!$B$9">
        <xdr:nvSpPr>
          <xdr:cNvPr id="76" name="TextBox 75">
            <a:extLst>
              <a:ext uri="{FF2B5EF4-FFF2-40B4-BE49-F238E27FC236}">
                <a16:creationId xmlns:a16="http://schemas.microsoft.com/office/drawing/2014/main" id="{11C3E547-F943-4192-B6B3-CD7388600052}"/>
              </a:ext>
            </a:extLst>
          </xdr:cNvPr>
          <xdr:cNvSpPr txBox="1"/>
        </xdr:nvSpPr>
        <xdr:spPr>
          <a:xfrm>
            <a:off x="1981200" y="3000376"/>
            <a:ext cx="5810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F1EC77-E21E-45A0-8557-C28E9F558E3B}" type="TxLink">
              <a:rPr lang="en-US" sz="1800" b="1" i="0" u="none" strike="noStrike">
                <a:solidFill>
                  <a:srgbClr val="000000"/>
                </a:solidFill>
                <a:latin typeface="Segoe UI Semibold" panose="020B0702040204020203" pitchFamily="34" charset="0"/>
                <a:ea typeface="Calibri"/>
                <a:cs typeface="Segoe UI Semibold" panose="020B0702040204020203" pitchFamily="34" charset="0"/>
              </a:rPr>
              <a:t>588</a:t>
            </a:fld>
            <a:endParaRPr lang="en-IN"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Gender!$B$10">
        <xdr:nvSpPr>
          <xdr:cNvPr id="78" name="TextBox 77">
            <a:extLst>
              <a:ext uri="{FF2B5EF4-FFF2-40B4-BE49-F238E27FC236}">
                <a16:creationId xmlns:a16="http://schemas.microsoft.com/office/drawing/2014/main" id="{B99139A6-324F-88FD-52FE-CEAB9A63BEAC}"/>
              </a:ext>
            </a:extLst>
          </xdr:cNvPr>
          <xdr:cNvSpPr txBox="1"/>
        </xdr:nvSpPr>
        <xdr:spPr>
          <a:xfrm>
            <a:off x="4371975" y="3009901"/>
            <a:ext cx="5810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226D3E-2E4C-4C6C-A6AC-78C49DB07F75}" type="TxLink">
              <a:rPr lang="en-US" sz="1800" b="1" i="0" u="none" strike="noStrike">
                <a:solidFill>
                  <a:srgbClr val="000000"/>
                </a:solidFill>
                <a:latin typeface="Segoe UI Semibold" panose="020B0702040204020203" pitchFamily="34" charset="0"/>
                <a:ea typeface="Calibri"/>
                <a:cs typeface="Segoe UI Semibold" panose="020B0702040204020203" pitchFamily="34" charset="0"/>
              </a:rPr>
              <a:t>882</a:t>
            </a:fld>
            <a:endParaRPr lang="en-IN" sz="28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grpSp>
    <xdr:clientData/>
  </xdr:twoCellAnchor>
  <xdr:twoCellAnchor>
    <xdr:from>
      <xdr:col>2</xdr:col>
      <xdr:colOff>314325</xdr:colOff>
      <xdr:row>8</xdr:row>
      <xdr:rowOff>171450</xdr:rowOff>
    </xdr:from>
    <xdr:to>
      <xdr:col>6</xdr:col>
      <xdr:colOff>638175</xdr:colOff>
      <xdr:row>10</xdr:row>
      <xdr:rowOff>76200</xdr:rowOff>
    </xdr:to>
    <xdr:sp macro="" textlink="">
      <xdr:nvSpPr>
        <xdr:cNvPr id="80" name="TextBox 79">
          <a:extLst>
            <a:ext uri="{FF2B5EF4-FFF2-40B4-BE49-F238E27FC236}">
              <a16:creationId xmlns:a16="http://schemas.microsoft.com/office/drawing/2014/main" id="{0D918378-46A7-45F4-B9B0-EB57B85AA3A5}"/>
            </a:ext>
          </a:extLst>
        </xdr:cNvPr>
        <xdr:cNvSpPr txBox="1"/>
      </xdr:nvSpPr>
      <xdr:spPr>
        <a:xfrm>
          <a:off x="1647825" y="1771650"/>
          <a:ext cx="29908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Total Employees By</a:t>
          </a:r>
          <a:r>
            <a:rPr lang="en-IN" sz="1400" baseline="0">
              <a:latin typeface="Segoe UI Semibold" panose="020B0702040204020203" pitchFamily="34" charset="0"/>
              <a:ea typeface="Segoe UI Black" panose="020B0A02040204020203" pitchFamily="34" charset="0"/>
              <a:cs typeface="Segoe UI Semibold" panose="020B0702040204020203" pitchFamily="34" charset="0"/>
            </a:rPr>
            <a:t> Gender</a:t>
          </a:r>
          <a:endParaRPr lang="en-IN" sz="1400">
            <a:latin typeface="Segoe UI Semibold" panose="020B0702040204020203" pitchFamily="34" charset="0"/>
            <a:ea typeface="Segoe UI Black" panose="020B0A02040204020203" pitchFamily="34" charset="0"/>
            <a:cs typeface="Segoe UI Semibold" panose="020B0702040204020203" pitchFamily="34" charset="0"/>
          </a:endParaRPr>
        </a:p>
        <a:p>
          <a:endParaRPr lang="en-IN" sz="1400"/>
        </a:p>
      </xdr:txBody>
    </xdr:sp>
    <xdr:clientData/>
  </xdr:twoCellAnchor>
  <xdr:twoCellAnchor editAs="oneCell">
    <xdr:from>
      <xdr:col>3</xdr:col>
      <xdr:colOff>657225</xdr:colOff>
      <xdr:row>10</xdr:row>
      <xdr:rowOff>171450</xdr:rowOff>
    </xdr:from>
    <xdr:to>
      <xdr:col>6</xdr:col>
      <xdr:colOff>225001</xdr:colOff>
      <xdr:row>13</xdr:row>
      <xdr:rowOff>180975</xdr:rowOff>
    </xdr:to>
    <mc:AlternateContent xmlns:mc="http://schemas.openxmlformats.org/markup-compatibility/2006">
      <mc:Choice xmlns:a14="http://schemas.microsoft.com/office/drawing/2010/main" Requires="a14">
        <xdr:graphicFrame macro="">
          <xdr:nvGraphicFramePr>
            <xdr:cNvPr id="81" name="Gender 3">
              <a:extLst>
                <a:ext uri="{FF2B5EF4-FFF2-40B4-BE49-F238E27FC236}">
                  <a16:creationId xmlns:a16="http://schemas.microsoft.com/office/drawing/2014/main" id="{9C500881-DA66-4F80-A75D-C992C9B61FD6}"/>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657475" y="2171700"/>
              <a:ext cx="1568026"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200024</xdr:colOff>
      <xdr:row>10</xdr:row>
      <xdr:rowOff>123825</xdr:rowOff>
    </xdr:from>
    <xdr:to>
      <xdr:col>15</xdr:col>
      <xdr:colOff>209549</xdr:colOff>
      <xdr:row>19</xdr:row>
      <xdr:rowOff>180975</xdr:rowOff>
    </xdr:to>
    <xdr:graphicFrame macro="">
      <xdr:nvGraphicFramePr>
        <xdr:cNvPr id="82" name="Chart 81">
          <a:extLst>
            <a:ext uri="{FF2B5EF4-FFF2-40B4-BE49-F238E27FC236}">
              <a16:creationId xmlns:a16="http://schemas.microsoft.com/office/drawing/2014/main" id="{5218A65C-30DC-4218-8047-D8E814840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361950</xdr:colOff>
      <xdr:row>10</xdr:row>
      <xdr:rowOff>114300</xdr:rowOff>
    </xdr:from>
    <xdr:to>
      <xdr:col>21</xdr:col>
      <xdr:colOff>647700</xdr:colOff>
      <xdr:row>20</xdr:row>
      <xdr:rowOff>0</xdr:rowOff>
    </xdr:to>
    <mc:AlternateContent xmlns:mc="http://schemas.openxmlformats.org/markup-compatibility/2006">
      <mc:Choice xmlns:cx1="http://schemas.microsoft.com/office/drawing/2015/9/8/chartex" Requires="cx1">
        <xdr:graphicFrame macro="">
          <xdr:nvGraphicFramePr>
            <xdr:cNvPr id="83" name="Chart 82">
              <a:extLst>
                <a:ext uri="{FF2B5EF4-FFF2-40B4-BE49-F238E27FC236}">
                  <a16:creationId xmlns:a16="http://schemas.microsoft.com/office/drawing/2014/main" id="{7D06F17C-E02D-4B71-BA4B-0B2533E966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363200" y="2114550"/>
              <a:ext cx="4286250" cy="1885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285750</xdr:colOff>
      <xdr:row>8</xdr:row>
      <xdr:rowOff>161925</xdr:rowOff>
    </xdr:from>
    <xdr:to>
      <xdr:col>12</xdr:col>
      <xdr:colOff>609600</xdr:colOff>
      <xdr:row>10</xdr:row>
      <xdr:rowOff>66675</xdr:rowOff>
    </xdr:to>
    <xdr:sp macro="" textlink="">
      <xdr:nvSpPr>
        <xdr:cNvPr id="84" name="TextBox 83">
          <a:extLst>
            <a:ext uri="{FF2B5EF4-FFF2-40B4-BE49-F238E27FC236}">
              <a16:creationId xmlns:a16="http://schemas.microsoft.com/office/drawing/2014/main" id="{F2DB031A-F121-6A12-0780-8BBA42133CC8}"/>
            </a:ext>
          </a:extLst>
        </xdr:cNvPr>
        <xdr:cNvSpPr txBox="1"/>
      </xdr:nvSpPr>
      <xdr:spPr>
        <a:xfrm>
          <a:off x="5619750" y="1762125"/>
          <a:ext cx="29908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Education Wise Attrition</a:t>
          </a:r>
        </a:p>
        <a:p>
          <a:endParaRPr lang="en-IN" sz="1400"/>
        </a:p>
      </xdr:txBody>
    </xdr:sp>
    <xdr:clientData/>
  </xdr:twoCellAnchor>
  <xdr:twoCellAnchor>
    <xdr:from>
      <xdr:col>15</xdr:col>
      <xdr:colOff>514350</xdr:colOff>
      <xdr:row>8</xdr:row>
      <xdr:rowOff>171450</xdr:rowOff>
    </xdr:from>
    <xdr:to>
      <xdr:col>20</xdr:col>
      <xdr:colOff>171450</xdr:colOff>
      <xdr:row>10</xdr:row>
      <xdr:rowOff>76200</xdr:rowOff>
    </xdr:to>
    <xdr:sp macro="" textlink="">
      <xdr:nvSpPr>
        <xdr:cNvPr id="85" name="TextBox 84">
          <a:extLst>
            <a:ext uri="{FF2B5EF4-FFF2-40B4-BE49-F238E27FC236}">
              <a16:creationId xmlns:a16="http://schemas.microsoft.com/office/drawing/2014/main" id="{E0422C89-97A2-0809-205F-3D24A7D26965}"/>
            </a:ext>
          </a:extLst>
        </xdr:cNvPr>
        <xdr:cNvSpPr txBox="1"/>
      </xdr:nvSpPr>
      <xdr:spPr>
        <a:xfrm>
          <a:off x="10515600" y="1771650"/>
          <a:ext cx="29908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Attrition By</a:t>
          </a:r>
          <a:r>
            <a:rPr lang="en-IN" sz="1400" baseline="0">
              <a:latin typeface="Segoe UI Semibold" panose="020B0702040204020203" pitchFamily="34" charset="0"/>
              <a:ea typeface="Segoe UI Black" panose="020B0A02040204020203" pitchFamily="34" charset="0"/>
              <a:cs typeface="Segoe UI Semibold" panose="020B0702040204020203" pitchFamily="34" charset="0"/>
            </a:rPr>
            <a:t> Job Role</a:t>
          </a:r>
          <a:endParaRPr lang="en-IN" sz="1400">
            <a:latin typeface="Segoe UI Semibold" panose="020B0702040204020203" pitchFamily="34" charset="0"/>
            <a:ea typeface="Segoe UI Black" panose="020B0A02040204020203" pitchFamily="34" charset="0"/>
            <a:cs typeface="Segoe UI Semibold" panose="020B0702040204020203" pitchFamily="34" charset="0"/>
          </a:endParaRPr>
        </a:p>
        <a:p>
          <a:endParaRPr lang="en-IN" sz="1400"/>
        </a:p>
      </xdr:txBody>
    </xdr:sp>
    <xdr:clientData/>
  </xdr:twoCellAnchor>
  <xdr:twoCellAnchor>
    <xdr:from>
      <xdr:col>2</xdr:col>
      <xdr:colOff>342900</xdr:colOff>
      <xdr:row>22</xdr:row>
      <xdr:rowOff>47625</xdr:rowOff>
    </xdr:from>
    <xdr:to>
      <xdr:col>7</xdr:col>
      <xdr:colOff>504825</xdr:colOff>
      <xdr:row>30</xdr:row>
      <xdr:rowOff>190500</xdr:rowOff>
    </xdr:to>
    <xdr:graphicFrame macro="">
      <xdr:nvGraphicFramePr>
        <xdr:cNvPr id="86" name="Chart 85">
          <a:extLst>
            <a:ext uri="{FF2B5EF4-FFF2-40B4-BE49-F238E27FC236}">
              <a16:creationId xmlns:a16="http://schemas.microsoft.com/office/drawing/2014/main" id="{1F7864C0-777C-4719-97C0-FC30D6CF5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304800</xdr:colOff>
      <xdr:row>20</xdr:row>
      <xdr:rowOff>76200</xdr:rowOff>
    </xdr:from>
    <xdr:to>
      <xdr:col>6</xdr:col>
      <xdr:colOff>628650</xdr:colOff>
      <xdr:row>21</xdr:row>
      <xdr:rowOff>180975</xdr:rowOff>
    </xdr:to>
    <xdr:sp macro="" textlink="">
      <xdr:nvSpPr>
        <xdr:cNvPr id="87" name="TextBox 86">
          <a:extLst>
            <a:ext uri="{FF2B5EF4-FFF2-40B4-BE49-F238E27FC236}">
              <a16:creationId xmlns:a16="http://schemas.microsoft.com/office/drawing/2014/main" id="{BA8EFF4F-8E06-4E52-857F-952FC07FF901}"/>
            </a:ext>
          </a:extLst>
        </xdr:cNvPr>
        <xdr:cNvSpPr txBox="1"/>
      </xdr:nvSpPr>
      <xdr:spPr>
        <a:xfrm>
          <a:off x="1638300" y="4076700"/>
          <a:ext cx="29908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Dept Wise Attrition</a:t>
          </a:r>
        </a:p>
        <a:p>
          <a:endParaRPr lang="en-IN" sz="1400"/>
        </a:p>
      </xdr:txBody>
    </xdr:sp>
    <xdr:clientData/>
  </xdr:twoCellAnchor>
  <xdr:twoCellAnchor>
    <xdr:from>
      <xdr:col>8</xdr:col>
      <xdr:colOff>114300</xdr:colOff>
      <xdr:row>22</xdr:row>
      <xdr:rowOff>28575</xdr:rowOff>
    </xdr:from>
    <xdr:to>
      <xdr:col>13</xdr:col>
      <xdr:colOff>314325</xdr:colOff>
      <xdr:row>31</xdr:row>
      <xdr:rowOff>57150</xdr:rowOff>
    </xdr:to>
    <xdr:graphicFrame macro="">
      <xdr:nvGraphicFramePr>
        <xdr:cNvPr id="88" name="Chart 87">
          <a:extLst>
            <a:ext uri="{FF2B5EF4-FFF2-40B4-BE49-F238E27FC236}">
              <a16:creationId xmlns:a16="http://schemas.microsoft.com/office/drawing/2014/main" id="{4BC48FD5-7153-4B7C-BE23-B9BE6D0A8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314325</xdr:colOff>
      <xdr:row>20</xdr:row>
      <xdr:rowOff>85725</xdr:rowOff>
    </xdr:from>
    <xdr:to>
      <xdr:col>12</xdr:col>
      <xdr:colOff>638175</xdr:colOff>
      <xdr:row>21</xdr:row>
      <xdr:rowOff>190500</xdr:rowOff>
    </xdr:to>
    <xdr:sp macro="" textlink="">
      <xdr:nvSpPr>
        <xdr:cNvPr id="89" name="TextBox 88">
          <a:extLst>
            <a:ext uri="{FF2B5EF4-FFF2-40B4-BE49-F238E27FC236}">
              <a16:creationId xmlns:a16="http://schemas.microsoft.com/office/drawing/2014/main" id="{EB578ED6-838A-3062-5E68-3D49993BE32E}"/>
            </a:ext>
          </a:extLst>
        </xdr:cNvPr>
        <xdr:cNvSpPr txBox="1"/>
      </xdr:nvSpPr>
      <xdr:spPr>
        <a:xfrm>
          <a:off x="5648325" y="4086225"/>
          <a:ext cx="29908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Attrition By Age Group</a:t>
          </a:r>
        </a:p>
        <a:p>
          <a:endParaRPr lang="en-IN" sz="1400"/>
        </a:p>
      </xdr:txBody>
    </xdr:sp>
    <xdr:clientData/>
  </xdr:twoCellAnchor>
  <xdr:twoCellAnchor>
    <xdr:from>
      <xdr:col>13</xdr:col>
      <xdr:colOff>428625</xdr:colOff>
      <xdr:row>22</xdr:row>
      <xdr:rowOff>85725</xdr:rowOff>
    </xdr:from>
    <xdr:to>
      <xdr:col>17</xdr:col>
      <xdr:colOff>533400</xdr:colOff>
      <xdr:row>31</xdr:row>
      <xdr:rowOff>38100</xdr:rowOff>
    </xdr:to>
    <mc:AlternateContent xmlns:mc="http://schemas.openxmlformats.org/markup-compatibility/2006">
      <mc:Choice xmlns:cx2="http://schemas.microsoft.com/office/drawing/2015/10/21/chartex" Requires="cx2">
        <xdr:graphicFrame macro="">
          <xdr:nvGraphicFramePr>
            <xdr:cNvPr id="91" name="Chart 90">
              <a:extLst>
                <a:ext uri="{FF2B5EF4-FFF2-40B4-BE49-F238E27FC236}">
                  <a16:creationId xmlns:a16="http://schemas.microsoft.com/office/drawing/2014/main" id="{EBCA0CC7-56C6-45B4-B130-11DE392FB8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9096375" y="4486275"/>
              <a:ext cx="2771775" cy="1752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542925</xdr:colOff>
      <xdr:row>20</xdr:row>
      <xdr:rowOff>76199</xdr:rowOff>
    </xdr:from>
    <xdr:to>
      <xdr:col>17</xdr:col>
      <xdr:colOff>495300</xdr:colOff>
      <xdr:row>21</xdr:row>
      <xdr:rowOff>190499</xdr:rowOff>
    </xdr:to>
    <xdr:sp macro="" textlink="">
      <xdr:nvSpPr>
        <xdr:cNvPr id="92" name="TextBox 91">
          <a:extLst>
            <a:ext uri="{FF2B5EF4-FFF2-40B4-BE49-F238E27FC236}">
              <a16:creationId xmlns:a16="http://schemas.microsoft.com/office/drawing/2014/main" id="{57D729D4-C940-DAC3-50A1-AAA9977AE5B1}"/>
            </a:ext>
          </a:extLst>
        </xdr:cNvPr>
        <xdr:cNvSpPr txBox="1"/>
      </xdr:nvSpPr>
      <xdr:spPr>
        <a:xfrm>
          <a:off x="9210675" y="4076699"/>
          <a:ext cx="26193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ea typeface="Segoe UI Black" panose="020B0A02040204020203" pitchFamily="34" charset="0"/>
              <a:cs typeface="Segoe UI Semibold" panose="020B0702040204020203" pitchFamily="34" charset="0"/>
            </a:rPr>
            <a:t>Attrition By Marital Status</a:t>
          </a:r>
        </a:p>
        <a:p>
          <a:endParaRPr lang="en-IN" sz="1400"/>
        </a:p>
      </xdr:txBody>
    </xdr:sp>
    <xdr:clientData/>
  </xdr:twoCellAnchor>
  <xdr:twoCellAnchor editAs="oneCell">
    <xdr:from>
      <xdr:col>20</xdr:col>
      <xdr:colOff>171450</xdr:colOff>
      <xdr:row>21</xdr:row>
      <xdr:rowOff>200024</xdr:rowOff>
    </xdr:from>
    <xdr:to>
      <xdr:col>21</xdr:col>
      <xdr:colOff>609600</xdr:colOff>
      <xdr:row>28</xdr:row>
      <xdr:rowOff>57150</xdr:rowOff>
    </xdr:to>
    <mc:AlternateContent xmlns:mc="http://schemas.openxmlformats.org/markup-compatibility/2006">
      <mc:Choice xmlns:a14="http://schemas.microsoft.com/office/drawing/2010/main" Requires="a14">
        <xdr:graphicFrame macro="">
          <xdr:nvGraphicFramePr>
            <xdr:cNvPr id="93" name="Department 1">
              <a:extLst>
                <a:ext uri="{FF2B5EF4-FFF2-40B4-BE49-F238E27FC236}">
                  <a16:creationId xmlns:a16="http://schemas.microsoft.com/office/drawing/2014/main" id="{4501735F-5C07-4239-8DE7-62F7A4E3725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506450" y="4400549"/>
              <a:ext cx="1104900" cy="1257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97155</xdr:colOff>
      <xdr:row>22</xdr:row>
      <xdr:rowOff>9525</xdr:rowOff>
    </xdr:from>
    <xdr:to>
      <xdr:col>20</xdr:col>
      <xdr:colOff>123825</xdr:colOff>
      <xdr:row>31</xdr:row>
      <xdr:rowOff>66675</xdr:rowOff>
    </xdr:to>
    <mc:AlternateContent xmlns:mc="http://schemas.openxmlformats.org/markup-compatibility/2006">
      <mc:Choice xmlns:a14="http://schemas.microsoft.com/office/drawing/2010/main" Requires="a14">
        <xdr:graphicFrame macro="">
          <xdr:nvGraphicFramePr>
            <xdr:cNvPr id="94" name="Education Field 3">
              <a:extLst>
                <a:ext uri="{FF2B5EF4-FFF2-40B4-BE49-F238E27FC236}">
                  <a16:creationId xmlns:a16="http://schemas.microsoft.com/office/drawing/2014/main" id="{DED5DC87-617F-4A95-A6CE-2AA842537335}"/>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2098655" y="4410075"/>
              <a:ext cx="1360170" cy="1857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19051</xdr:colOff>
      <xdr:row>20</xdr:row>
      <xdr:rowOff>66674</xdr:rowOff>
    </xdr:from>
    <xdr:to>
      <xdr:col>20</xdr:col>
      <xdr:colOff>95251</xdr:colOff>
      <xdr:row>21</xdr:row>
      <xdr:rowOff>180974</xdr:rowOff>
    </xdr:to>
    <xdr:sp macro="" textlink="">
      <xdr:nvSpPr>
        <xdr:cNvPr id="95" name="TextBox 94">
          <a:extLst>
            <a:ext uri="{FF2B5EF4-FFF2-40B4-BE49-F238E27FC236}">
              <a16:creationId xmlns:a16="http://schemas.microsoft.com/office/drawing/2014/main" id="{58F4980E-5681-4AEC-2AAC-121DFDD8B9D0}"/>
            </a:ext>
          </a:extLst>
        </xdr:cNvPr>
        <xdr:cNvSpPr txBox="1"/>
      </xdr:nvSpPr>
      <xdr:spPr>
        <a:xfrm>
          <a:off x="12020551" y="4067174"/>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Education Field</a:t>
          </a:r>
          <a:endParaRPr lang="en-IN" sz="1200"/>
        </a:p>
      </xdr:txBody>
    </xdr:sp>
    <xdr:clientData/>
  </xdr:twoCellAnchor>
  <xdr:twoCellAnchor>
    <xdr:from>
      <xdr:col>20</xdr:col>
      <xdr:colOff>123824</xdr:colOff>
      <xdr:row>20</xdr:row>
      <xdr:rowOff>66674</xdr:rowOff>
    </xdr:from>
    <xdr:to>
      <xdr:col>22</xdr:col>
      <xdr:colOff>66675</xdr:colOff>
      <xdr:row>21</xdr:row>
      <xdr:rowOff>180974</xdr:rowOff>
    </xdr:to>
    <xdr:sp macro="" textlink="">
      <xdr:nvSpPr>
        <xdr:cNvPr id="96" name="TextBox 95">
          <a:extLst>
            <a:ext uri="{FF2B5EF4-FFF2-40B4-BE49-F238E27FC236}">
              <a16:creationId xmlns:a16="http://schemas.microsoft.com/office/drawing/2014/main" id="{B01193DE-2CB1-9530-2210-21979CA45155}"/>
            </a:ext>
          </a:extLst>
        </xdr:cNvPr>
        <xdr:cNvSpPr txBox="1"/>
      </xdr:nvSpPr>
      <xdr:spPr>
        <a:xfrm>
          <a:off x="13458824" y="4067174"/>
          <a:ext cx="12763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Department</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173355</xdr:colOff>
      <xdr:row>13</xdr:row>
      <xdr:rowOff>81915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8037195" y="2558415"/>
          <a:ext cx="295275" cy="266700"/>
        </a:xfrm>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6065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refreshedDate="46111.693843287037" createdVersion="8" refreshedVersion="8" minRefreshableVersion="3" recordCount="1470" xr:uid="{EE1BAA14-A5EB-4480-8ABE-DB5A577933DE}">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92199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525ABE-526F-424F-9498-A21375E86C10}"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9A981E-E71B-4CD3-8698-61368F91F615}" name="Rating"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0"/>
  </dataFields>
  <formats count="1">
    <format dxfId="2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CFA9C-743D-4742-8232-69573EFECB0E}" name="Gender"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027803-07D5-415E-B7A1-5B336DD9CD83}" name="Education by Attrition"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DD00F9-2227-4AED-B868-26239A89C55D}" name="Attrition by Job"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A8E0DD-D7DB-44CC-A17E-BFB3C236715E}" name="Dept Wise Attrition"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D3BE43-FB29-4F65-AF5E-2C677B861CEA}" name="Attrition by Age Group"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008A2B-A9DF-4CF4-B951-FD670498BC43}" name="Marital Statu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EC6F8DB-771B-47A6-9452-FEF62423E879}" sourceName="Gender">
  <pivotTables>
    <pivotTable tabId="11" name="Gender"/>
    <pivotTable tabId="15" name="Attrition by Age Group"/>
    <pivotTable tabId="13" name="Attrition by Job"/>
    <pivotTable tabId="14" name="Dept Wise Attrition"/>
    <pivotTable tabId="12" name="Education by Attrition"/>
    <pivotTable tabId="7" name="PivotTable2"/>
    <pivotTable tabId="16" name="Marital Status"/>
    <pivotTable tabId="10" name="Rating"/>
  </pivotTables>
  <data>
    <tabular pivotCacheId="199219910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D9D9F7A-6E36-4F58-ABD0-683AA9931ADE}" sourceName="Department">
  <pivotTables>
    <pivotTable tabId="15" name="Attrition by Age Group"/>
    <pivotTable tabId="13" name="Attrition by Job"/>
    <pivotTable tabId="14" name="Dept Wise Attrition"/>
    <pivotTable tabId="12" name="Education by Attrition"/>
    <pivotTable tabId="11" name="Gender"/>
    <pivotTable tabId="7" name="PivotTable2"/>
    <pivotTable tabId="16" name="Marital Status"/>
    <pivotTable tabId="10" name="Rating"/>
  </pivotTables>
  <data>
    <tabular pivotCacheId="199219910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E3CDC8D7-8567-4449-9A8F-74841423E7DE}" sourceName="Education Field">
  <pivotTables>
    <pivotTable tabId="15" name="Attrition by Age Group"/>
    <pivotTable tabId="13" name="Attrition by Job"/>
    <pivotTable tabId="14" name="Dept Wise Attrition"/>
    <pivotTable tabId="12" name="Education by Attrition"/>
    <pivotTable tabId="11" name="Gender"/>
    <pivotTable tabId="7" name="PivotTable2"/>
    <pivotTable tabId="16" name="Marital Status"/>
    <pivotTable tabId="10" name="Rating"/>
  </pivotTables>
  <data>
    <tabular pivotCacheId="199219910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90A7787-38AA-4700-9471-93A365E028F7}"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C5E649F-86BC-473D-B1E0-C7067D9E4A61}" cache="Slicer_Gender2" caption="Gender" rowHeight="260350"/>
  <slicer name="Education Field" xr10:uid="{42C33328-8BF0-4614-A9C8-EB01DA1CE8F3}"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F264534-E021-4D2C-BCEE-2F8DBB2BB7C9}" cache="Slicer_Gender2" caption="Gender" rowHeight="260350"/>
  <slicer name="Education Field 1" xr10:uid="{034EEEC4-8010-460C-8001-8E8733BECD49}"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F9D8DD0-3B63-4062-8EB5-4712F6CB559C}" cache="Slicer_Department" caption="Department" rowHeight="260350"/>
  <slicer name="Education Field 2" xr10:uid="{5B66E59E-87FF-4F23-86AD-5E2CD88E0E36}"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6292951-136E-4284-B78D-8EA83C79393A}" cache="Slicer_Gender2" caption="Gender" columnCount="2" style="Slicer" rowHeight="180000"/>
  <slicer name="Department 1" xr10:uid="{FD34949B-03C3-47A4-A43F-87301FFDD501}" cache="Slicer_Department" style="Slicer" rowHeight="260350"/>
  <slicer name="Education Field 3" xr10:uid="{0C2666CF-FC23-4BDE-A14D-573D7C0027E8}" cache="Slicer_Education_Field2" style="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8" sqref="C8"/>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C8DC-54A0-4589-A71D-CF6C877A51B5}">
  <dimension ref="A3:E8"/>
  <sheetViews>
    <sheetView workbookViewId="0">
      <selection activeCell="H10" sqref="H10"/>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1.8984375" bestFit="1" customWidth="1"/>
  </cols>
  <sheetData>
    <row r="3" spans="1:5" x14ac:dyDescent="0.3">
      <c r="A3" s="2" t="s">
        <v>1555</v>
      </c>
      <c r="B3" s="8" t="s">
        <v>1554</v>
      </c>
      <c r="C3" s="5" t="s">
        <v>1556</v>
      </c>
    </row>
    <row r="4" spans="1:5" x14ac:dyDescent="0.3">
      <c r="A4" s="6">
        <v>1470</v>
      </c>
      <c r="B4" s="9">
        <v>237</v>
      </c>
      <c r="C4" s="7">
        <v>36.923809523809524</v>
      </c>
    </row>
    <row r="7" spans="1:5" x14ac:dyDescent="0.3">
      <c r="A7" t="s">
        <v>1557</v>
      </c>
      <c r="B7" t="s">
        <v>1558</v>
      </c>
      <c r="C7" t="s">
        <v>1559</v>
      </c>
      <c r="D7" t="s">
        <v>1560</v>
      </c>
      <c r="E7" t="s">
        <v>1561</v>
      </c>
    </row>
    <row r="8" spans="1:5" x14ac:dyDescent="0.3">
      <c r="A8">
        <f>GETPIVOTDATA("Count of Employee Number",$A$3)</f>
        <v>1470</v>
      </c>
      <c r="B8">
        <f>GETPIVOTDATA("Sum of CF_attrition count",$A$3)</f>
        <v>237</v>
      </c>
      <c r="C8" s="13">
        <f>GETPIVOTDATA("Average of Age",$A$3)</f>
        <v>36.923809523809524</v>
      </c>
      <c r="D8">
        <f>A8-B8</f>
        <v>1233</v>
      </c>
      <c r="E8" s="11">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EFE5D-BC05-4345-96F1-4AC15A5CF1C5}">
  <dimension ref="A3:C7"/>
  <sheetViews>
    <sheetView workbookViewId="0">
      <selection activeCell="J24" sqref="J24"/>
    </sheetView>
  </sheetViews>
  <sheetFormatPr defaultRowHeight="15.6" x14ac:dyDescent="0.3"/>
  <cols>
    <col min="1" max="1" width="23.59765625" bestFit="1" customWidth="1"/>
  </cols>
  <sheetData>
    <row r="3" spans="1:3" x14ac:dyDescent="0.3">
      <c r="A3" s="3" t="s">
        <v>1562</v>
      </c>
    </row>
    <row r="4" spans="1:3" x14ac:dyDescent="0.3">
      <c r="A4" s="15">
        <v>2.6265306122448981</v>
      </c>
    </row>
    <row r="6" spans="1:3" x14ac:dyDescent="0.3">
      <c r="A6" t="s">
        <v>1563</v>
      </c>
      <c r="B6" s="12">
        <f>GETPIVOTDATA("Job Satisfaction",$A$3)</f>
        <v>2.6265306122448981</v>
      </c>
      <c r="C6">
        <f>B6/4</f>
        <v>0.65663265306122454</v>
      </c>
    </row>
    <row r="7" spans="1:3" x14ac:dyDescent="0.3">
      <c r="A7" t="s">
        <v>1564</v>
      </c>
      <c r="B7" s="12">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2CA0-0B74-4201-8AD1-B131EAA49054}">
  <dimension ref="A3:C10"/>
  <sheetViews>
    <sheetView workbookViewId="0">
      <selection activeCell="L17" sqref="L17"/>
    </sheetView>
  </sheetViews>
  <sheetFormatPr defaultRowHeight="15.6" x14ac:dyDescent="0.3"/>
  <cols>
    <col min="1" max="1" width="12.19921875" bestFit="1" customWidth="1"/>
    <col min="2" max="2" width="22.796875" bestFit="1" customWidth="1"/>
  </cols>
  <sheetData>
    <row r="3" spans="1:3" x14ac:dyDescent="0.3">
      <c r="A3" s="16" t="s">
        <v>1565</v>
      </c>
      <c r="B3" s="3" t="s">
        <v>1567</v>
      </c>
    </row>
    <row r="4" spans="1:3" x14ac:dyDescent="0.3">
      <c r="A4" s="17" t="s">
        <v>51</v>
      </c>
      <c r="B4" s="18">
        <v>588</v>
      </c>
    </row>
    <row r="5" spans="1:3" x14ac:dyDescent="0.3">
      <c r="A5" s="19" t="s">
        <v>62</v>
      </c>
      <c r="B5" s="20">
        <v>882</v>
      </c>
    </row>
    <row r="6" spans="1:3" x14ac:dyDescent="0.3">
      <c r="A6" s="21" t="s">
        <v>1566</v>
      </c>
      <c r="B6" s="4">
        <v>1470</v>
      </c>
    </row>
    <row r="9" spans="1:3" x14ac:dyDescent="0.3">
      <c r="A9" s="22" t="s">
        <v>51</v>
      </c>
      <c r="B9">
        <f>IFERROR(GETPIVOTDATA("Employee Count",$A$3,"Gender","Female"),0)</f>
        <v>588</v>
      </c>
      <c r="C9" s="10">
        <f>IFERROR(B9/($B$9+$B$10),0)</f>
        <v>0.4</v>
      </c>
    </row>
    <row r="10" spans="1:3" x14ac:dyDescent="0.3">
      <c r="A10" s="22" t="s">
        <v>62</v>
      </c>
      <c r="B10">
        <f>IFERROR(GETPIVOTDATA("Employee Count",$A$3,"Gender","Male"),0)</f>
        <v>882</v>
      </c>
      <c r="C10" s="10">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B86A4-8E60-41C5-BB9A-36B234D67510}">
  <dimension ref="A3:B9"/>
  <sheetViews>
    <sheetView workbookViewId="0">
      <selection activeCell="B6" sqref="B6"/>
    </sheetView>
  </sheetViews>
  <sheetFormatPr defaultRowHeight="15.6" x14ac:dyDescent="0.3"/>
  <cols>
    <col min="1" max="1" width="16" bestFit="1" customWidth="1"/>
    <col min="2" max="2" width="22.796875" bestFit="1" customWidth="1"/>
  </cols>
  <sheetData>
    <row r="3" spans="1:2" x14ac:dyDescent="0.3">
      <c r="A3" s="16" t="s">
        <v>1565</v>
      </c>
      <c r="B3" s="3" t="s">
        <v>1554</v>
      </c>
    </row>
    <row r="4" spans="1:2" x14ac:dyDescent="0.3">
      <c r="A4" s="17" t="s">
        <v>134</v>
      </c>
      <c r="B4" s="18">
        <v>5</v>
      </c>
    </row>
    <row r="5" spans="1:2" x14ac:dyDescent="0.3">
      <c r="A5" s="19" t="s">
        <v>65</v>
      </c>
      <c r="B5" s="20">
        <v>31</v>
      </c>
    </row>
    <row r="6" spans="1:2" x14ac:dyDescent="0.3">
      <c r="A6" s="19" t="s">
        <v>55</v>
      </c>
      <c r="B6" s="20">
        <v>44</v>
      </c>
    </row>
    <row r="7" spans="1:2" x14ac:dyDescent="0.3">
      <c r="A7" s="19" t="s">
        <v>71</v>
      </c>
      <c r="B7" s="20">
        <v>58</v>
      </c>
    </row>
    <row r="8" spans="1:2" x14ac:dyDescent="0.3">
      <c r="A8" s="19" t="s">
        <v>77</v>
      </c>
      <c r="B8" s="20">
        <v>99</v>
      </c>
    </row>
    <row r="9" spans="1:2" x14ac:dyDescent="0.3">
      <c r="A9" s="21" t="s">
        <v>1566</v>
      </c>
      <c r="B9" s="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770F7-4C40-434D-8B11-A9B30D43E732}">
  <dimension ref="A3:E13"/>
  <sheetViews>
    <sheetView workbookViewId="0">
      <selection activeCell="D3" sqref="D3:E12"/>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6" t="s">
        <v>1565</v>
      </c>
      <c r="B3" s="3" t="s">
        <v>1554</v>
      </c>
      <c r="D3" t="s">
        <v>9</v>
      </c>
      <c r="E3" t="s">
        <v>1568</v>
      </c>
    </row>
    <row r="4" spans="1:5" x14ac:dyDescent="0.3">
      <c r="A4" s="17" t="s">
        <v>83</v>
      </c>
      <c r="B4" s="18">
        <v>9</v>
      </c>
      <c r="D4" t="str">
        <f>A4</f>
        <v>Healthcare Representative</v>
      </c>
      <c r="E4">
        <f>GETPIVOTDATA("CF_attrition count",$A$3,"Job Role",A4)</f>
        <v>9</v>
      </c>
    </row>
    <row r="5" spans="1:5" x14ac:dyDescent="0.3">
      <c r="A5" s="19" t="s">
        <v>163</v>
      </c>
      <c r="B5" s="20">
        <v>12</v>
      </c>
      <c r="D5" t="str">
        <f t="shared" ref="D5:D12" si="0">A5</f>
        <v>Human Resources</v>
      </c>
      <c r="E5">
        <f t="shared" ref="E5:E12" si="1">GETPIVOTDATA("CF_attrition count",$A$3,"Job Role",A5)</f>
        <v>12</v>
      </c>
    </row>
    <row r="6" spans="1:5" x14ac:dyDescent="0.3">
      <c r="A6" s="19" t="s">
        <v>68</v>
      </c>
      <c r="B6" s="20">
        <v>62</v>
      </c>
      <c r="D6" t="str">
        <f t="shared" si="0"/>
        <v>Laboratory Technician</v>
      </c>
      <c r="E6">
        <f t="shared" si="1"/>
        <v>62</v>
      </c>
    </row>
    <row r="7" spans="1:5" x14ac:dyDescent="0.3">
      <c r="A7" s="19" t="s">
        <v>95</v>
      </c>
      <c r="B7" s="20">
        <v>5</v>
      </c>
      <c r="D7" t="str">
        <f t="shared" si="0"/>
        <v>Manager</v>
      </c>
      <c r="E7">
        <f t="shared" si="1"/>
        <v>5</v>
      </c>
    </row>
    <row r="8" spans="1:5" x14ac:dyDescent="0.3">
      <c r="A8" s="19" t="s">
        <v>81</v>
      </c>
      <c r="B8" s="20">
        <v>10</v>
      </c>
      <c r="D8" t="str">
        <f t="shared" si="0"/>
        <v>Manufacturing Director</v>
      </c>
      <c r="E8">
        <f t="shared" si="1"/>
        <v>10</v>
      </c>
    </row>
    <row r="9" spans="1:5" x14ac:dyDescent="0.3">
      <c r="A9" s="19" t="s">
        <v>101</v>
      </c>
      <c r="B9" s="20">
        <v>2</v>
      </c>
      <c r="D9" t="str">
        <f t="shared" si="0"/>
        <v>Research Director</v>
      </c>
      <c r="E9">
        <f t="shared" si="1"/>
        <v>2</v>
      </c>
    </row>
    <row r="10" spans="1:5" x14ac:dyDescent="0.3">
      <c r="A10" s="19" t="s">
        <v>63</v>
      </c>
      <c r="B10" s="20">
        <v>47</v>
      </c>
      <c r="D10" t="str">
        <f t="shared" si="0"/>
        <v>Research Scientist</v>
      </c>
      <c r="E10">
        <f t="shared" si="1"/>
        <v>47</v>
      </c>
    </row>
    <row r="11" spans="1:5" x14ac:dyDescent="0.3">
      <c r="A11" s="19" t="s">
        <v>52</v>
      </c>
      <c r="B11" s="20">
        <v>57</v>
      </c>
      <c r="D11" t="str">
        <f t="shared" si="0"/>
        <v>Sales Executive</v>
      </c>
      <c r="E11">
        <f t="shared" si="1"/>
        <v>57</v>
      </c>
    </row>
    <row r="12" spans="1:5" x14ac:dyDescent="0.3">
      <c r="A12" s="19" t="s">
        <v>99</v>
      </c>
      <c r="B12" s="20">
        <v>33</v>
      </c>
      <c r="D12" t="str">
        <f t="shared" si="0"/>
        <v>Sales Representative</v>
      </c>
      <c r="E12">
        <f t="shared" si="1"/>
        <v>33</v>
      </c>
    </row>
    <row r="13" spans="1:5" x14ac:dyDescent="0.3">
      <c r="A13" s="21" t="s">
        <v>1566</v>
      </c>
      <c r="B13" s="4">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A316-EB16-46A6-9AEF-A33701435622}">
  <dimension ref="A3:B7"/>
  <sheetViews>
    <sheetView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6" t="s">
        <v>1565</v>
      </c>
      <c r="B3" s="3" t="s">
        <v>1554</v>
      </c>
    </row>
    <row r="4" spans="1:2" x14ac:dyDescent="0.3">
      <c r="A4" s="17" t="s">
        <v>161</v>
      </c>
      <c r="B4" s="23">
        <v>5.0632911392405063E-2</v>
      </c>
    </row>
    <row r="5" spans="1:2" x14ac:dyDescent="0.3">
      <c r="A5" s="19" t="s">
        <v>60</v>
      </c>
      <c r="B5" s="24">
        <v>0.56118143459915615</v>
      </c>
    </row>
    <row r="6" spans="1:2" x14ac:dyDescent="0.3">
      <c r="A6" s="19" t="s">
        <v>48</v>
      </c>
      <c r="B6" s="24">
        <v>0.3881856540084388</v>
      </c>
    </row>
    <row r="7" spans="1:2" x14ac:dyDescent="0.3">
      <c r="A7" s="21" t="s">
        <v>1566</v>
      </c>
      <c r="B7" s="25">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8517E-F70D-42C7-BD76-6D48F6EED313}">
  <dimension ref="A3:B9"/>
  <sheetViews>
    <sheetView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6" t="s">
        <v>1565</v>
      </c>
      <c r="B3" s="3" t="s">
        <v>1554</v>
      </c>
    </row>
    <row r="4" spans="1:2" x14ac:dyDescent="0.3">
      <c r="A4" s="17" t="s">
        <v>69</v>
      </c>
      <c r="B4" s="18">
        <v>112</v>
      </c>
    </row>
    <row r="5" spans="1:2" x14ac:dyDescent="0.3">
      <c r="A5" s="19" t="s">
        <v>46</v>
      </c>
      <c r="B5" s="20">
        <v>51</v>
      </c>
    </row>
    <row r="6" spans="1:2" x14ac:dyDescent="0.3">
      <c r="A6" s="19" t="s">
        <v>92</v>
      </c>
      <c r="B6" s="20">
        <v>38</v>
      </c>
    </row>
    <row r="7" spans="1:2" x14ac:dyDescent="0.3">
      <c r="A7" s="19" t="s">
        <v>58</v>
      </c>
      <c r="B7" s="20">
        <v>25</v>
      </c>
    </row>
    <row r="8" spans="1:2" x14ac:dyDescent="0.3">
      <c r="A8" s="19" t="s">
        <v>75</v>
      </c>
      <c r="B8" s="20">
        <v>11</v>
      </c>
    </row>
    <row r="9" spans="1:2" x14ac:dyDescent="0.3">
      <c r="A9" s="21" t="s">
        <v>1566</v>
      </c>
      <c r="B9" s="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8E844-3C5B-4D94-ADFA-2E0168DF7B3A}">
  <dimension ref="A3:E7"/>
  <sheetViews>
    <sheetView workbookViewId="0">
      <selection activeCell="O14" sqref="O14"/>
    </sheetView>
  </sheetViews>
  <sheetFormatPr defaultRowHeight="15.6" x14ac:dyDescent="0.3"/>
  <cols>
    <col min="1" max="1" width="12.19921875" bestFit="1" customWidth="1"/>
    <col min="2" max="2" width="24.296875" bestFit="1" customWidth="1"/>
    <col min="4" max="4" width="12.69921875" bestFit="1" customWidth="1"/>
  </cols>
  <sheetData>
    <row r="3" spans="1:5" x14ac:dyDescent="0.3">
      <c r="A3" s="16" t="s">
        <v>1565</v>
      </c>
      <c r="B3" s="3" t="s">
        <v>1569</v>
      </c>
      <c r="D3" t="s">
        <v>10</v>
      </c>
      <c r="E3" t="s">
        <v>0</v>
      </c>
    </row>
    <row r="4" spans="1:5" x14ac:dyDescent="0.3">
      <c r="A4" s="17" t="s">
        <v>79</v>
      </c>
      <c r="B4" s="18">
        <v>327</v>
      </c>
      <c r="D4" t="str">
        <f>A4</f>
        <v>Divorced</v>
      </c>
      <c r="E4">
        <f>GETPIVOTDATA("CF_attrition count",$A$3,"Marital Status",A4)</f>
        <v>327</v>
      </c>
    </row>
    <row r="5" spans="1:5" x14ac:dyDescent="0.3">
      <c r="A5" s="19" t="s">
        <v>53</v>
      </c>
      <c r="B5" s="20">
        <v>470</v>
      </c>
      <c r="D5" t="str">
        <f>A5</f>
        <v>Single</v>
      </c>
      <c r="E5">
        <f>GETPIVOTDATA("CF_attrition count",$A$3,"Marital Status",A5)</f>
        <v>470</v>
      </c>
    </row>
    <row r="6" spans="1:5" x14ac:dyDescent="0.3">
      <c r="A6" s="19" t="s">
        <v>64</v>
      </c>
      <c r="B6" s="20">
        <v>673</v>
      </c>
      <c r="D6" t="str">
        <f>A6</f>
        <v>Married</v>
      </c>
      <c r="E6">
        <f>GETPIVOTDATA("CF_attrition count",$A$3,"Marital Status",A6)</f>
        <v>673</v>
      </c>
    </row>
    <row r="7" spans="1:5" x14ac:dyDescent="0.3">
      <c r="A7" s="21" t="s">
        <v>1566</v>
      </c>
      <c r="B7" s="4">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C567-827E-4277-8543-FA5AB6DB060C}">
  <dimension ref="A1"/>
  <sheetViews>
    <sheetView showGridLines="0" tabSelected="1" zoomScale="80" zoomScaleNormal="80" workbookViewId="0">
      <selection activeCell="Z17" sqref="Z17"/>
    </sheetView>
  </sheetViews>
  <sheetFormatPr defaultRowHeight="15.6" x14ac:dyDescent="0.3"/>
  <cols>
    <col min="1" max="16384" width="8.796875" style="1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2" workbookViewId="0">
      <selection activeCell="D29" sqref="D29"/>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zoomScale="60" zoomScaleNormal="60" workbookViewId="0">
      <selection activeCell="AB34" sqref="AB34"/>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topLeftCell="J1"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vt:lpstr>
      <vt:lpstr>KPI</vt:lpstr>
      <vt:lpstr>Rating</vt:lpstr>
      <vt:lpstr>Gender</vt:lpstr>
      <vt:lpstr>Education by Attrition</vt:lpstr>
      <vt:lpstr>Attrition by Job</vt:lpstr>
      <vt:lpstr>Dept Wise Attrition</vt:lpstr>
      <vt:lpstr>Attrition by Age Group</vt:lpstr>
      <vt:lpstr>Marital Status</vt:lpstr>
      <vt:lpstr>Dashboard</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mayur</cp:lastModifiedBy>
  <dcterms:created xsi:type="dcterms:W3CDTF">2022-12-29T16:02:46Z</dcterms:created>
  <dcterms:modified xsi:type="dcterms:W3CDTF">2026-03-30T16:35:59Z</dcterms:modified>
</cp:coreProperties>
</file>